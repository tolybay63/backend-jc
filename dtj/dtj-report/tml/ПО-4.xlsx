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jc-projects\backend-jc\dtj\dtj-report\tml\"/>
    </mc:Choice>
  </mc:AlternateContent>
  <bookViews>
    <workbookView xWindow="0" yWindow="0" windowWidth="28800" windowHeight="12300" firstSheet="1" activeTab="1"/>
  </bookViews>
  <sheets>
    <sheet name="ПЧ-38 16г " sheetId="11" state="hidden" r:id="rId1"/>
    <sheet name="ПЧ" sheetId="14" r:id="rId2"/>
    <sheet name="постановка" sheetId="15" state="hidden" r:id="rId3"/>
    <sheet name="+ - к прошлому году" sheetId="9" state="hidden" r:id="rId4"/>
  </sheets>
  <definedNames>
    <definedName name="_xlnm.Print_Area" localSheetId="3">'+ - к прошлому году'!$A$1:$J$89</definedName>
    <definedName name="_xlnm.Print_Area" localSheetId="0">'ПЧ-38 16г '!$A$1:$J$90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14" l="1"/>
  <c r="I22" i="14"/>
  <c r="H22" i="14"/>
  <c r="G22" i="14"/>
  <c r="F22" i="14"/>
  <c r="E22" i="14"/>
  <c r="D22" i="14"/>
  <c r="E65" i="14" l="1"/>
  <c r="F65" i="14"/>
  <c r="G65" i="14"/>
  <c r="H65" i="14"/>
  <c r="I65" i="14"/>
  <c r="J65" i="14"/>
  <c r="F64" i="14"/>
  <c r="G64" i="14"/>
  <c r="H64" i="14"/>
  <c r="I64" i="14"/>
  <c r="J64" i="14"/>
  <c r="E64" i="14" l="1"/>
  <c r="D63" i="14"/>
  <c r="D62" i="14"/>
  <c r="D60" i="14"/>
  <c r="D59" i="14"/>
  <c r="D61" i="14" s="1"/>
  <c r="E61" i="14"/>
  <c r="F61" i="14"/>
  <c r="G61" i="14"/>
  <c r="H61" i="14"/>
  <c r="I61" i="14"/>
  <c r="J61" i="14"/>
  <c r="E58" i="14"/>
  <c r="F58" i="14"/>
  <c r="G58" i="14"/>
  <c r="H58" i="14"/>
  <c r="I58" i="14"/>
  <c r="J58" i="14"/>
  <c r="D57" i="14"/>
  <c r="D56" i="14"/>
  <c r="D55" i="14"/>
  <c r="E54" i="14"/>
  <c r="F54" i="14"/>
  <c r="G54" i="14"/>
  <c r="H54" i="14"/>
  <c r="I54" i="14"/>
  <c r="J54" i="14"/>
  <c r="D49" i="14"/>
  <c r="D53" i="14"/>
  <c r="D50" i="14"/>
  <c r="D51" i="14"/>
  <c r="D52" i="14"/>
  <c r="D47" i="14"/>
  <c r="E48" i="14"/>
  <c r="F48" i="14"/>
  <c r="G48" i="14"/>
  <c r="H48" i="14"/>
  <c r="I48" i="14"/>
  <c r="J48" i="14"/>
  <c r="D43" i="14"/>
  <c r="D44" i="14"/>
  <c r="D45" i="14"/>
  <c r="D46" i="14"/>
  <c r="D42" i="14"/>
  <c r="E41" i="14"/>
  <c r="F41" i="14"/>
  <c r="G41" i="14"/>
  <c r="H41" i="14"/>
  <c r="I41" i="14"/>
  <c r="J41" i="14"/>
  <c r="D35" i="14"/>
  <c r="D36" i="14"/>
  <c r="D37" i="14"/>
  <c r="D38" i="14"/>
  <c r="D39" i="14"/>
  <c r="D40" i="14"/>
  <c r="D34" i="14"/>
  <c r="E33" i="14"/>
  <c r="F33" i="14"/>
  <c r="G33" i="14"/>
  <c r="H33" i="14"/>
  <c r="I33" i="14"/>
  <c r="J33" i="14"/>
  <c r="D31" i="14"/>
  <c r="D32" i="14"/>
  <c r="D30" i="14"/>
  <c r="E29" i="14"/>
  <c r="F29" i="14"/>
  <c r="G29" i="14"/>
  <c r="H29" i="14"/>
  <c r="I29" i="14"/>
  <c r="J29" i="14"/>
  <c r="D24" i="14"/>
  <c r="D25" i="14"/>
  <c r="D26" i="14"/>
  <c r="D27" i="14"/>
  <c r="D28" i="14"/>
  <c r="D23" i="14"/>
  <c r="D17" i="14"/>
  <c r="D18" i="14"/>
  <c r="D19" i="14"/>
  <c r="D20" i="14"/>
  <c r="D21" i="14"/>
  <c r="D16" i="14"/>
  <c r="D48" i="14" l="1"/>
  <c r="D54" i="14"/>
  <c r="D33" i="14"/>
  <c r="D58" i="14"/>
  <c r="D64" i="14"/>
  <c r="D29" i="14"/>
  <c r="D41" i="14"/>
  <c r="J75" i="9"/>
  <c r="I75" i="9"/>
  <c r="H75" i="9"/>
  <c r="G75" i="9"/>
  <c r="F75" i="9"/>
  <c r="E75" i="9"/>
  <c r="D75" i="9"/>
  <c r="J73" i="9"/>
  <c r="I73" i="9"/>
  <c r="H73" i="9"/>
  <c r="G73" i="9"/>
  <c r="F73" i="9"/>
  <c r="E73" i="9"/>
  <c r="J72" i="9"/>
  <c r="I72" i="9"/>
  <c r="H72" i="9"/>
  <c r="G72" i="9"/>
  <c r="F72" i="9"/>
  <c r="E72" i="9"/>
  <c r="J70" i="9"/>
  <c r="I70" i="9"/>
  <c r="H70" i="9"/>
  <c r="G70" i="9"/>
  <c r="F70" i="9"/>
  <c r="E70" i="9"/>
  <c r="J69" i="9"/>
  <c r="I69" i="9"/>
  <c r="H69" i="9"/>
  <c r="G69" i="9"/>
  <c r="F69" i="9"/>
  <c r="E69" i="9"/>
  <c r="E21" i="9"/>
  <c r="F21" i="9"/>
  <c r="G21" i="9"/>
  <c r="H21" i="9"/>
  <c r="I21" i="9"/>
  <c r="J21" i="9"/>
  <c r="E22" i="9"/>
  <c r="F22" i="9"/>
  <c r="G22" i="9"/>
  <c r="H22" i="9"/>
  <c r="I22" i="9"/>
  <c r="J22" i="9"/>
  <c r="E23" i="9"/>
  <c r="F23" i="9"/>
  <c r="G23" i="9"/>
  <c r="H23" i="9"/>
  <c r="I23" i="9"/>
  <c r="J23" i="9"/>
  <c r="E24" i="9"/>
  <c r="F24" i="9"/>
  <c r="G24" i="9"/>
  <c r="H24" i="9"/>
  <c r="I24" i="9"/>
  <c r="J24" i="9"/>
  <c r="E26" i="9"/>
  <c r="F26" i="9"/>
  <c r="G26" i="9"/>
  <c r="H26" i="9"/>
  <c r="I26" i="9"/>
  <c r="J26" i="9"/>
  <c r="E27" i="9"/>
  <c r="F27" i="9"/>
  <c r="G27" i="9"/>
  <c r="H27" i="9"/>
  <c r="I27" i="9"/>
  <c r="J27" i="9"/>
  <c r="E28" i="9"/>
  <c r="F28" i="9"/>
  <c r="G28" i="9"/>
  <c r="H28" i="9"/>
  <c r="I28" i="9"/>
  <c r="J28" i="9"/>
  <c r="E29" i="9"/>
  <c r="F29" i="9"/>
  <c r="G29" i="9"/>
  <c r="H29" i="9"/>
  <c r="I29" i="9"/>
  <c r="J29" i="9"/>
  <c r="E30" i="9"/>
  <c r="F30" i="9"/>
  <c r="G30" i="9"/>
  <c r="H30" i="9"/>
  <c r="I30" i="9"/>
  <c r="J30" i="9"/>
  <c r="E31" i="9"/>
  <c r="F31" i="9"/>
  <c r="G31" i="9"/>
  <c r="H31" i="9"/>
  <c r="I31" i="9"/>
  <c r="J31" i="9"/>
  <c r="E33" i="9"/>
  <c r="F33" i="9"/>
  <c r="G33" i="9"/>
  <c r="H33" i="9"/>
  <c r="I33" i="9"/>
  <c r="J33" i="9"/>
  <c r="E34" i="9"/>
  <c r="F34" i="9"/>
  <c r="G34" i="9"/>
  <c r="H34" i="9"/>
  <c r="I34" i="9"/>
  <c r="J34" i="9"/>
  <c r="E35" i="9"/>
  <c r="F35" i="9"/>
  <c r="G35" i="9"/>
  <c r="H35" i="9"/>
  <c r="I35" i="9"/>
  <c r="J35" i="9"/>
  <c r="E37" i="9"/>
  <c r="F37" i="9"/>
  <c r="G37" i="9"/>
  <c r="H37" i="9"/>
  <c r="I37" i="9"/>
  <c r="J37" i="9"/>
  <c r="E38" i="9"/>
  <c r="F38" i="9"/>
  <c r="G38" i="9"/>
  <c r="H38" i="9"/>
  <c r="I38" i="9"/>
  <c r="J38" i="9"/>
  <c r="E39" i="9"/>
  <c r="F39" i="9"/>
  <c r="G39" i="9"/>
  <c r="H39" i="9"/>
  <c r="I39" i="9"/>
  <c r="J39" i="9"/>
  <c r="E40" i="9"/>
  <c r="F40" i="9"/>
  <c r="G40" i="9"/>
  <c r="H40" i="9"/>
  <c r="I40" i="9"/>
  <c r="J40" i="9"/>
  <c r="E41" i="9"/>
  <c r="F41" i="9"/>
  <c r="G41" i="9"/>
  <c r="H41" i="9"/>
  <c r="I41" i="9"/>
  <c r="J41" i="9"/>
  <c r="E42" i="9"/>
  <c r="F42" i="9"/>
  <c r="G42" i="9"/>
  <c r="H42" i="9"/>
  <c r="I42" i="9"/>
  <c r="J42" i="9"/>
  <c r="E43" i="9"/>
  <c r="F43" i="9"/>
  <c r="G43" i="9"/>
  <c r="H43" i="9"/>
  <c r="I43" i="9"/>
  <c r="J43" i="9"/>
  <c r="E45" i="9"/>
  <c r="F45" i="9"/>
  <c r="G45" i="9"/>
  <c r="H45" i="9"/>
  <c r="I45" i="9"/>
  <c r="J45" i="9"/>
  <c r="E46" i="9"/>
  <c r="F46" i="9"/>
  <c r="G46" i="9"/>
  <c r="H46" i="9"/>
  <c r="I46" i="9"/>
  <c r="J46" i="9"/>
  <c r="E47" i="9"/>
  <c r="F47" i="9"/>
  <c r="G47" i="9"/>
  <c r="H47" i="9"/>
  <c r="I47" i="9"/>
  <c r="J47" i="9"/>
  <c r="E48" i="9"/>
  <c r="F48" i="9"/>
  <c r="G48" i="9"/>
  <c r="H48" i="9"/>
  <c r="I48" i="9"/>
  <c r="J48" i="9"/>
  <c r="E49" i="9"/>
  <c r="F49" i="9"/>
  <c r="G49" i="9"/>
  <c r="H49" i="9"/>
  <c r="I49" i="9"/>
  <c r="J49" i="9"/>
  <c r="E50" i="9"/>
  <c r="F50" i="9"/>
  <c r="G50" i="9"/>
  <c r="H50" i="9"/>
  <c r="I50" i="9"/>
  <c r="J50" i="9"/>
  <c r="E52" i="9"/>
  <c r="F52" i="9"/>
  <c r="G52" i="9"/>
  <c r="H52" i="9"/>
  <c r="I52" i="9"/>
  <c r="J52" i="9"/>
  <c r="E53" i="9"/>
  <c r="F53" i="9"/>
  <c r="G53" i="9"/>
  <c r="H53" i="9"/>
  <c r="I53" i="9"/>
  <c r="J53" i="9"/>
  <c r="E54" i="9"/>
  <c r="F54" i="9"/>
  <c r="G54" i="9"/>
  <c r="H54" i="9"/>
  <c r="I54" i="9"/>
  <c r="J54" i="9"/>
  <c r="E55" i="9"/>
  <c r="F55" i="9"/>
  <c r="G55" i="9"/>
  <c r="H55" i="9"/>
  <c r="I55" i="9"/>
  <c r="J55" i="9"/>
  <c r="E56" i="9"/>
  <c r="F56" i="9"/>
  <c r="G56" i="9"/>
  <c r="H56" i="9"/>
  <c r="I56" i="9"/>
  <c r="J56" i="9"/>
  <c r="E58" i="9"/>
  <c r="F58" i="9"/>
  <c r="G58" i="9"/>
  <c r="H58" i="9"/>
  <c r="I58" i="9"/>
  <c r="J58" i="9"/>
  <c r="E59" i="9"/>
  <c r="F59" i="9"/>
  <c r="G59" i="9"/>
  <c r="H59" i="9"/>
  <c r="I59" i="9"/>
  <c r="J59" i="9"/>
  <c r="E60" i="9"/>
  <c r="F60" i="9"/>
  <c r="G60" i="9"/>
  <c r="H60" i="9"/>
  <c r="I60" i="9"/>
  <c r="J60" i="9"/>
  <c r="E61" i="9"/>
  <c r="F61" i="9"/>
  <c r="G61" i="9"/>
  <c r="H61" i="9"/>
  <c r="I61" i="9"/>
  <c r="J61" i="9"/>
  <c r="E20" i="9"/>
  <c r="F20" i="9"/>
  <c r="G20" i="9"/>
  <c r="H20" i="9"/>
  <c r="I20" i="9"/>
  <c r="J20" i="9"/>
  <c r="H32" i="9"/>
  <c r="H36" i="9"/>
  <c r="G36" i="11"/>
  <c r="I36" i="11"/>
  <c r="I36" i="9" s="1"/>
  <c r="I32" i="11"/>
  <c r="G32" i="11"/>
  <c r="D73" i="11"/>
  <c r="D72" i="11"/>
  <c r="D70" i="11"/>
  <c r="D69" i="11"/>
  <c r="D21" i="11"/>
  <c r="D21" i="9" s="1"/>
  <c r="D22" i="11"/>
  <c r="D22" i="9" s="1"/>
  <c r="D23" i="11"/>
  <c r="D23" i="9" s="1"/>
  <c r="D24" i="11"/>
  <c r="D24" i="9" s="1"/>
  <c r="D26" i="11"/>
  <c r="D26" i="9" s="1"/>
  <c r="D27" i="11"/>
  <c r="D27" i="9" s="1"/>
  <c r="D28" i="11"/>
  <c r="D28" i="9" s="1"/>
  <c r="D29" i="11"/>
  <c r="D30" i="11"/>
  <c r="D30" i="9" s="1"/>
  <c r="D31" i="11"/>
  <c r="D34" i="11"/>
  <c r="D34" i="9" s="1"/>
  <c r="D35" i="11"/>
  <c r="D37" i="11"/>
  <c r="D38" i="11"/>
  <c r="D39" i="11"/>
  <c r="D40" i="11"/>
  <c r="D41" i="11"/>
  <c r="D42" i="11"/>
  <c r="D43" i="11"/>
  <c r="D45" i="11"/>
  <c r="D45" i="9" s="1"/>
  <c r="D46" i="11"/>
  <c r="D46" i="9" s="1"/>
  <c r="D47" i="11"/>
  <c r="D48" i="11"/>
  <c r="D49" i="11"/>
  <c r="D50" i="11"/>
  <c r="D52" i="11"/>
  <c r="D52" i="9" s="1"/>
  <c r="D53" i="11"/>
  <c r="D53" i="9" s="1"/>
  <c r="D54" i="11"/>
  <c r="D55" i="11"/>
  <c r="D56" i="11"/>
  <c r="D58" i="11"/>
  <c r="D59" i="11"/>
  <c r="D60" i="11"/>
  <c r="D61" i="11"/>
  <c r="D20" i="11"/>
  <c r="D20" i="9" s="1"/>
  <c r="E57" i="11"/>
  <c r="F57" i="11"/>
  <c r="G57" i="11"/>
  <c r="H57" i="11"/>
  <c r="I57" i="11"/>
  <c r="I57" i="9" s="1"/>
  <c r="J57" i="11"/>
  <c r="E51" i="11"/>
  <c r="F51" i="11"/>
  <c r="G51" i="11"/>
  <c r="H51" i="11"/>
  <c r="I51" i="11"/>
  <c r="I51" i="9" s="1"/>
  <c r="J51" i="11"/>
  <c r="E44" i="11"/>
  <c r="F44" i="11"/>
  <c r="G44" i="11"/>
  <c r="H44" i="11"/>
  <c r="I44" i="11"/>
  <c r="J44" i="11"/>
  <c r="E25" i="11"/>
  <c r="E25" i="9" s="1"/>
  <c r="F25" i="11"/>
  <c r="F25" i="9" s="1"/>
  <c r="G25" i="11"/>
  <c r="G25" i="9" s="1"/>
  <c r="H25" i="11"/>
  <c r="H25" i="9" s="1"/>
  <c r="I25" i="11"/>
  <c r="I25" i="9" s="1"/>
  <c r="J25" i="11"/>
  <c r="E32" i="11"/>
  <c r="F32" i="11"/>
  <c r="J32" i="11"/>
  <c r="E36" i="11"/>
  <c r="F36" i="11"/>
  <c r="J36" i="11"/>
  <c r="E62" i="11"/>
  <c r="F62" i="11"/>
  <c r="G62" i="11"/>
  <c r="H62" i="11"/>
  <c r="I62" i="11"/>
  <c r="J62" i="11"/>
  <c r="J74" i="11"/>
  <c r="I74" i="11"/>
  <c r="H74" i="11"/>
  <c r="G74" i="11"/>
  <c r="D74" i="11" s="1"/>
  <c r="F74" i="11"/>
  <c r="E74" i="11"/>
  <c r="J71" i="11"/>
  <c r="I71" i="11"/>
  <c r="H71" i="11"/>
  <c r="G71" i="11"/>
  <c r="F71" i="11"/>
  <c r="E71" i="11"/>
  <c r="D33" i="11"/>
  <c r="D33" i="9" s="1"/>
  <c r="D65" i="14" l="1"/>
  <c r="D51" i="11"/>
  <c r="J76" i="11"/>
  <c r="J71" i="9"/>
  <c r="D42" i="9"/>
  <c r="D48" i="9"/>
  <c r="H62" i="9"/>
  <c r="H71" i="9"/>
  <c r="F74" i="9"/>
  <c r="D62" i="11"/>
  <c r="D62" i="9" s="1"/>
  <c r="J32" i="9"/>
  <c r="F44" i="9"/>
  <c r="E51" i="9"/>
  <c r="J51" i="9"/>
  <c r="D56" i="9"/>
  <c r="G62" i="9"/>
  <c r="D69" i="9"/>
  <c r="G71" i="9"/>
  <c r="J57" i="9"/>
  <c r="H74" i="9"/>
  <c r="E36" i="9"/>
  <c r="D37" i="9"/>
  <c r="H44" i="9"/>
  <c r="F57" i="9"/>
  <c r="E62" i="9"/>
  <c r="E71" i="9"/>
  <c r="E74" i="9"/>
  <c r="I74" i="9"/>
  <c r="F36" i="9"/>
  <c r="D38" i="9"/>
  <c r="D50" i="9"/>
  <c r="F62" i="9"/>
  <c r="F51" i="9"/>
  <c r="I62" i="9"/>
  <c r="D54" i="9"/>
  <c r="D40" i="9"/>
  <c r="D31" i="9"/>
  <c r="I32" i="9"/>
  <c r="J76" i="9"/>
  <c r="J44" i="9"/>
  <c r="F71" i="9"/>
  <c r="D71" i="11"/>
  <c r="D44" i="11"/>
  <c r="D57" i="11"/>
  <c r="D57" i="9" s="1"/>
  <c r="D58" i="9"/>
  <c r="G76" i="11"/>
  <c r="D36" i="11"/>
  <c r="D36" i="9" s="1"/>
  <c r="D29" i="9"/>
  <c r="J36" i="9"/>
  <c r="D39" i="9"/>
  <c r="D47" i="9"/>
  <c r="G51" i="9"/>
  <c r="H57" i="9"/>
  <c r="D59" i="9"/>
  <c r="D70" i="9"/>
  <c r="J74" i="9"/>
  <c r="D41" i="9"/>
  <c r="D55" i="9"/>
  <c r="D51" i="9"/>
  <c r="E32" i="9"/>
  <c r="D73" i="9"/>
  <c r="D35" i="9"/>
  <c r="D49" i="9"/>
  <c r="E76" i="11"/>
  <c r="E44" i="9"/>
  <c r="D61" i="9"/>
  <c r="D32" i="11"/>
  <c r="D43" i="9"/>
  <c r="H51" i="9"/>
  <c r="E57" i="9"/>
  <c r="D60" i="9"/>
  <c r="D72" i="9"/>
  <c r="G74" i="9"/>
  <c r="I44" i="9"/>
  <c r="D44" i="9"/>
  <c r="G36" i="9"/>
  <c r="I71" i="9"/>
  <c r="J62" i="9"/>
  <c r="J25" i="9"/>
  <c r="G44" i="9"/>
  <c r="D74" i="9"/>
  <c r="F32" i="9"/>
  <c r="H76" i="11"/>
  <c r="D25" i="11"/>
  <c r="F76" i="11"/>
  <c r="G57" i="9"/>
  <c r="G32" i="9"/>
  <c r="I76" i="11"/>
  <c r="F76" i="9" l="1"/>
  <c r="D71" i="9"/>
  <c r="E76" i="9"/>
  <c r="H76" i="9"/>
  <c r="G76" i="9"/>
  <c r="D32" i="9"/>
  <c r="D76" i="11"/>
  <c r="D25" i="9"/>
  <c r="I76" i="9"/>
  <c r="D76" i="9" l="1"/>
</calcChain>
</file>

<file path=xl/sharedStrings.xml><?xml version="1.0" encoding="utf-8"?>
<sst xmlns="http://schemas.openxmlformats.org/spreadsheetml/2006/main" count="301" uniqueCount="114">
  <si>
    <t xml:space="preserve"> Статистическая отчетность</t>
  </si>
  <si>
    <t>форма  ПО-4</t>
  </si>
  <si>
    <t xml:space="preserve">   Почтовая - 1 раз в год</t>
  </si>
  <si>
    <t xml:space="preserve"> </t>
  </si>
  <si>
    <t xml:space="preserve"> ОТЧЕТ</t>
  </si>
  <si>
    <t xml:space="preserve">                о рельсах, снятых с путей вследствие изломов, дефектов и повреждений</t>
  </si>
  <si>
    <t xml:space="preserve">                 ( в штуках)</t>
  </si>
  <si>
    <t xml:space="preserve">                                    Снято с главных путей</t>
  </si>
  <si>
    <t>№№</t>
  </si>
  <si>
    <t>Виды дефектов или</t>
  </si>
  <si>
    <t>Номер</t>
  </si>
  <si>
    <t xml:space="preserve">                                в том числе по типам</t>
  </si>
  <si>
    <t>п/п</t>
  </si>
  <si>
    <t>повреждения рельсов</t>
  </si>
  <si>
    <t>дефекта</t>
  </si>
  <si>
    <t>Всего</t>
  </si>
  <si>
    <t>Р 75</t>
  </si>
  <si>
    <t>Р 65</t>
  </si>
  <si>
    <t xml:space="preserve">   Р 50</t>
  </si>
  <si>
    <t>Р43 и другие</t>
  </si>
  <si>
    <t>сырые</t>
  </si>
  <si>
    <t>закал</t>
  </si>
  <si>
    <t xml:space="preserve">    типы</t>
  </si>
  <si>
    <t>А</t>
  </si>
  <si>
    <t>Б</t>
  </si>
  <si>
    <t>1.</t>
  </si>
  <si>
    <t>Отслоения и выкрашивание</t>
  </si>
  <si>
    <t>металла на поверхности</t>
  </si>
  <si>
    <t>катания головки рельса</t>
  </si>
  <si>
    <t>ИТОГО</t>
  </si>
  <si>
    <t>2.</t>
  </si>
  <si>
    <t>Поперечные трещины в головке</t>
  </si>
  <si>
    <t>рельса и изломы из-за них</t>
  </si>
  <si>
    <t xml:space="preserve">3. </t>
  </si>
  <si>
    <t>Продольные горизонтальные и</t>
  </si>
  <si>
    <t>30 В</t>
  </si>
  <si>
    <t>вертикальные трещины в голов-</t>
  </si>
  <si>
    <t>30 Г</t>
  </si>
  <si>
    <t>ке рельса</t>
  </si>
  <si>
    <t>4.</t>
  </si>
  <si>
    <t>Смятие, равномерный и нерав-</t>
  </si>
  <si>
    <t>номерный износ головки</t>
  </si>
  <si>
    <t>5.</t>
  </si>
  <si>
    <t>Дефекты и повреждения</t>
  </si>
  <si>
    <t>шейки рельса</t>
  </si>
  <si>
    <t>6.</t>
  </si>
  <si>
    <t>подошвы рельса</t>
  </si>
  <si>
    <t>7.</t>
  </si>
  <si>
    <t>Изломы рельсов по всему</t>
  </si>
  <si>
    <t>сечению</t>
  </si>
  <si>
    <t>8.</t>
  </si>
  <si>
    <t>Изгибы рельса в вертикальной</t>
  </si>
  <si>
    <t>и горизонтальной плоскостях</t>
  </si>
  <si>
    <t>9.</t>
  </si>
  <si>
    <t>Прочие дефекты и повреждения</t>
  </si>
  <si>
    <t>рельсов</t>
  </si>
  <si>
    <t>ВСЕГО</t>
  </si>
  <si>
    <t xml:space="preserve">                          Примечание:</t>
  </si>
  <si>
    <t>1. Форма ПО-4 составляется на основании данных формы ПУ-4.</t>
  </si>
  <si>
    <t xml:space="preserve">2. В учет принимаются все рельсы, снятые с путей вследствии изломов и  </t>
  </si>
  <si>
    <t xml:space="preserve">    дефектов в порядке одиночной замены.</t>
  </si>
  <si>
    <t>Начальник Управления</t>
  </si>
  <si>
    <t xml:space="preserve">статистики </t>
  </si>
  <si>
    <t>Е. Фомина</t>
  </si>
  <si>
    <t>Исп. Касенова М.</t>
  </si>
  <si>
    <t>тел. 93-41-34</t>
  </si>
  <si>
    <t>Тел.</t>
  </si>
  <si>
    <t xml:space="preserve">                                   + - к прошлому году по Серебрянской дистанции пути</t>
  </si>
  <si>
    <t xml:space="preserve">             Серебрянский дистанции пути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</si>
  <si>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</si>
  <si>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                      Директор</t>
  </si>
  <si>
    <r>
      <t>Всего снято рельсов с приемо-отправочных путей  0</t>
    </r>
    <r>
      <rPr>
        <b/>
        <sz val="10"/>
        <rFont val="Arial Cyr"/>
        <family val="2"/>
        <charset val="204"/>
      </rPr>
      <t xml:space="preserve">   </t>
    </r>
    <r>
      <rPr>
        <sz val="10"/>
        <rFont val="Arial Cyr"/>
        <charset val="204"/>
      </rPr>
      <t>шт.</t>
    </r>
  </si>
  <si>
    <t xml:space="preserve">                                                    </t>
  </si>
  <si>
    <t xml:space="preserve">                                                за 2016 год по Серебрянской дистанции пути</t>
  </si>
  <si>
    <t xml:space="preserve">Ф.М. Белгибаев </t>
  </si>
  <si>
    <t>Исп.тех-отдел Кимадиев</t>
  </si>
  <si>
    <t>Всего  рельсов  снято с приемо-отправочных путей 1 шт.</t>
  </si>
  <si>
    <t xml:space="preserve">за 2024 год по дистанции пути </t>
  </si>
  <si>
    <t>10 шт</t>
  </si>
  <si>
    <t>Мулькибаев Н.Д.</t>
  </si>
  <si>
    <t>Всего рельсов снято с приемо-отправочных путей</t>
  </si>
  <si>
    <t>Prop_Task</t>
  </si>
  <si>
    <t>Свойство</t>
  </si>
  <si>
    <t>Фильтр для загрузки списка журнала задач</t>
  </si>
  <si>
    <t>cls_TaskLog , тип периода и дата от клиента</t>
  </si>
  <si>
    <t>idsTaks in (ссылка на 6 типов задач)</t>
  </si>
  <si>
    <t>ValueFact is not null Фактический объем задачи</t>
  </si>
  <si>
    <t>dBeg &lt;= FactDateEnd &lt;= dEnd</t>
  </si>
  <si>
    <t>Задача--План работ -- Инцидент -- Неисправность-Дефекты--Индекс дефекта</t>
  </si>
  <si>
    <t>FactDateEnd должен входить в определенный интервал</t>
  </si>
  <si>
    <t>Prop_WorkPlan</t>
  </si>
  <si>
    <t>Prop_Incident</t>
  </si>
  <si>
    <t>Задача ---- План работ</t>
  </si>
  <si>
    <t>Prop_Fault</t>
  </si>
  <si>
    <t>Инцидент -- Журнал неисправность</t>
  </si>
  <si>
    <t>Журнал неисправность--- Дефект</t>
  </si>
  <si>
    <t>Prop_Defect</t>
  </si>
  <si>
    <t>План работ --- Инцидент(События и запросы)</t>
  </si>
  <si>
    <t>смена рельса Р75 сырой</t>
  </si>
  <si>
    <t>смена рельса Р75 закаленный</t>
  </si>
  <si>
    <t>смена рельса Р65 сырой</t>
  </si>
  <si>
    <t>смена рельса Р65 закаленный</t>
  </si>
  <si>
    <t>смена рельса Р50</t>
  </si>
  <si>
    <t>смена рельса Р43</t>
  </si>
  <si>
    <t>id</t>
  </si>
  <si>
    <t>Задачи</t>
  </si>
  <si>
    <t>Начальник</t>
  </si>
  <si>
    <t>дистанции пути</t>
  </si>
  <si>
    <t>Примечание:</t>
  </si>
  <si>
    <t>1. В учет принимаются все рельсы, снятые с путей вследствии изломов и</t>
  </si>
  <si>
    <t>ОТЧЕТ</t>
  </si>
  <si>
    <t>Снято с главных путей</t>
  </si>
  <si>
    <t>в том числе по типам</t>
  </si>
  <si>
    <t>типы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</si>
</sst>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0"/>
      <name val="Arial Cyr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8"/>
      <name val="Arial Cyr"/>
      <family val="2"/>
      <charset val="204"/>
    </font>
    <font>
      <b/>
      <sz val="10"/>
      <name val="Arial Cyr"/>
      <charset val="204"/>
    </font>
    <font>
      <sz val="12"/>
      <name val="Arial Cyr"/>
      <charset val="204"/>
    </font>
    <font>
      <sz val="14"/>
      <name val="Arial Cyr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8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sz val="10"/>
      <color rgb="FF000000"/>
      <name val="Arial"/>
      <family val="2"/>
      <charset val="204"/>
    </font>
    <font>
      <sz val="8"/>
      <name val="Arial Cyr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5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" xfId="0" applyFont="1" applyBorder="1"/>
    <xf numFmtId="0" fontId="1" fillId="0" borderId="6" xfId="0" applyFont="1" applyBorder="1"/>
    <xf numFmtId="0" fontId="0" fillId="0" borderId="7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9" xfId="0" applyFont="1" applyBorder="1"/>
    <xf numFmtId="0" fontId="0" fillId="0" borderId="8" xfId="0" applyBorder="1"/>
    <xf numFmtId="0" fontId="1" fillId="0" borderId="8" xfId="0" applyFont="1" applyBorder="1" applyAlignment="1">
      <alignment horizontal="center"/>
    </xf>
    <xf numFmtId="0" fontId="0" fillId="0" borderId="10" xfId="0" applyBorder="1"/>
    <xf numFmtId="0" fontId="1" fillId="0" borderId="8" xfId="0" applyFont="1" applyBorder="1"/>
    <xf numFmtId="0" fontId="1" fillId="0" borderId="4" xfId="0" applyFont="1" applyBorder="1"/>
    <xf numFmtId="0" fontId="0" fillId="0" borderId="11" xfId="0" applyBorder="1"/>
    <xf numFmtId="0" fontId="0" fillId="0" borderId="12" xfId="0" applyBorder="1"/>
    <xf numFmtId="0" fontId="0" fillId="0" borderId="6" xfId="0" applyBorder="1" applyAlignment="1">
      <alignment horizontal="center"/>
    </xf>
    <xf numFmtId="0" fontId="0" fillId="0" borderId="9" xfId="0" applyBorder="1"/>
    <xf numFmtId="0" fontId="0" fillId="0" borderId="6" xfId="0" applyBorder="1"/>
    <xf numFmtId="0" fontId="0" fillId="0" borderId="0" xfId="0" applyAlignment="1">
      <alignment horizontal="center"/>
    </xf>
    <xf numFmtId="0" fontId="1" fillId="0" borderId="13" xfId="0" applyFont="1" applyBorder="1"/>
    <xf numFmtId="0" fontId="0" fillId="0" borderId="14" xfId="0" applyBorder="1"/>
    <xf numFmtId="0" fontId="1" fillId="0" borderId="7" xfId="0" applyFont="1" applyBorder="1"/>
    <xf numFmtId="0" fontId="3" fillId="0" borderId="0" xfId="0" applyFont="1"/>
    <xf numFmtId="0" fontId="4" fillId="0" borderId="8" xfId="0" applyFont="1" applyBorder="1"/>
    <xf numFmtId="0" fontId="0" fillId="0" borderId="15" xfId="0" applyBorder="1"/>
    <xf numFmtId="0" fontId="0" fillId="0" borderId="16" xfId="0" applyBorder="1"/>
    <xf numFmtId="0" fontId="5" fillId="0" borderId="0" xfId="0" applyFont="1"/>
    <xf numFmtId="0" fontId="6" fillId="0" borderId="0" xfId="0" applyFont="1"/>
    <xf numFmtId="0" fontId="1" fillId="0" borderId="12" xfId="0" applyFont="1" applyBorder="1"/>
    <xf numFmtId="0" fontId="1" fillId="0" borderId="2" xfId="0" applyFont="1" applyBorder="1" applyAlignment="1">
      <alignment horizontal="center"/>
    </xf>
    <xf numFmtId="0" fontId="0" fillId="0" borderId="17" xfId="0" applyBorder="1"/>
    <xf numFmtId="0" fontId="3" fillId="0" borderId="0" xfId="0" applyFont="1" applyAlignment="1">
      <alignment horizontal="left"/>
    </xf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0" fillId="0" borderId="0" xfId="0" applyFont="1"/>
    <xf numFmtId="0" fontId="11" fillId="0" borderId="0" xfId="0" applyFont="1"/>
    <xf numFmtId="0" fontId="7" fillId="3" borderId="0" xfId="0" applyFont="1" applyFill="1"/>
    <xf numFmtId="0" fontId="0" fillId="0" borderId="0" xfId="0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/>
    <xf numFmtId="0" fontId="7" fillId="3" borderId="18" xfId="0" applyFont="1" applyFill="1" applyBorder="1"/>
    <xf numFmtId="0" fontId="7" fillId="2" borderId="18" xfId="0" applyFont="1" applyFill="1" applyBorder="1"/>
    <xf numFmtId="0" fontId="7" fillId="2" borderId="18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18" xfId="0" applyFont="1" applyFill="1" applyBorder="1"/>
    <xf numFmtId="0" fontId="7" fillId="0" borderId="18" xfId="0" applyFont="1" applyBorder="1" applyAlignment="1">
      <alignment horizontal="center" vertical="center"/>
    </xf>
    <xf numFmtId="0" fontId="7" fillId="3" borderId="18" xfId="0" applyFont="1" applyFill="1" applyBorder="1" applyAlignment="1">
      <alignment horizontal="center"/>
    </xf>
    <xf numFmtId="0" fontId="8" fillId="0" borderId="18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8" fillId="0" borderId="18" xfId="0" applyFont="1" applyFill="1" applyBorder="1" applyAlignment="1">
      <alignment horizontal="center" vertical="center"/>
    </xf>
    <xf numFmtId="0" fontId="8" fillId="0" borderId="18" xfId="0" applyFont="1" applyFill="1" applyBorder="1" applyAlignment="1">
      <alignment horizontal="center"/>
    </xf>
    <xf numFmtId="0" fontId="14" fillId="2" borderId="18" xfId="0" applyFont="1" applyFill="1" applyBorder="1"/>
    <xf numFmtId="0" fontId="15" fillId="2" borderId="18" xfId="0" applyFont="1" applyFill="1" applyBorder="1"/>
    <xf numFmtId="0" fontId="15" fillId="0" borderId="18" xfId="0" applyFont="1" applyBorder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0" xfId="0" applyFont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10" fillId="3" borderId="0" xfId="0" applyFont="1" applyFill="1" applyAlignment="1">
      <alignment horizontal="center"/>
    </xf>
    <xf numFmtId="0" fontId="7" fillId="0" borderId="0" xfId="0" applyFont="1" applyAlignment="1">
      <alignment horizontal="left"/>
    </xf>
    <xf numFmtId="0" fontId="8" fillId="2" borderId="18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7" fillId="2" borderId="20" xfId="0" applyFont="1" applyFill="1" applyBorder="1" applyAlignment="1">
      <alignment horizontal="center"/>
    </xf>
    <xf numFmtId="0" fontId="7" fillId="2" borderId="21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0"/>
  <sheetViews>
    <sheetView view="pageBreakPreview" topLeftCell="A31" zoomScale="85" zoomScaleSheetLayoutView="85" workbookViewId="0">
      <selection activeCell="F69" sqref="F69"/>
    </sheetView>
  </sheetViews>
  <sheetFormatPr defaultRowHeight="12.75" x14ac:dyDescent="0.2"/>
  <cols>
    <col min="1" max="1" width="4.85546875" customWidth="1"/>
    <col min="2" max="2" width="28.7109375" customWidth="1"/>
    <col min="3" max="3" width="8.5703125" customWidth="1"/>
    <col min="4" max="4" width="8.140625" customWidth="1"/>
    <col min="5" max="6" width="7.5703125" customWidth="1"/>
    <col min="7" max="7" width="7.7109375" customWidth="1"/>
    <col min="8" max="8" width="7.140625" customWidth="1"/>
    <col min="9" max="9" width="7.5703125" customWidth="1"/>
    <col min="10" max="10" width="12.7109375" customWidth="1"/>
  </cols>
  <sheetData>
    <row r="1" spans="1:10" x14ac:dyDescent="0.2">
      <c r="J1" s="1"/>
    </row>
    <row r="2" spans="1:10" x14ac:dyDescent="0.2">
      <c r="J2" s="1"/>
    </row>
    <row r="3" spans="1:10" x14ac:dyDescent="0.2">
      <c r="H3" t="s">
        <v>0</v>
      </c>
    </row>
    <row r="4" spans="1:10" x14ac:dyDescent="0.2">
      <c r="I4" t="s">
        <v>1</v>
      </c>
    </row>
    <row r="6" spans="1:10" x14ac:dyDescent="0.2">
      <c r="H6" t="s">
        <v>2</v>
      </c>
      <c r="J6" s="1"/>
    </row>
    <row r="7" spans="1:10" x14ac:dyDescent="0.2">
      <c r="J7" s="1"/>
    </row>
    <row r="8" spans="1:10" x14ac:dyDescent="0.2">
      <c r="C8" t="s">
        <v>3</v>
      </c>
      <c r="J8" s="1"/>
    </row>
    <row r="10" spans="1:10" x14ac:dyDescent="0.2">
      <c r="D10" s="1" t="s">
        <v>4</v>
      </c>
      <c r="E10" s="1"/>
      <c r="F10" s="1"/>
      <c r="G10" s="1"/>
    </row>
    <row r="11" spans="1:10" x14ac:dyDescent="0.2">
      <c r="B11" s="1" t="s">
        <v>5</v>
      </c>
      <c r="C11" s="2"/>
      <c r="D11" s="2"/>
      <c r="E11" s="2"/>
      <c r="F11" s="2"/>
      <c r="G11" s="3"/>
      <c r="H11" s="3"/>
      <c r="I11" s="3"/>
      <c r="J11" s="4"/>
    </row>
    <row r="12" spans="1:10" x14ac:dyDescent="0.2">
      <c r="B12" s="1" t="s">
        <v>73</v>
      </c>
      <c r="C12" s="1"/>
      <c r="D12" s="3"/>
      <c r="E12" s="3"/>
      <c r="F12" s="3"/>
      <c r="G12" s="3"/>
      <c r="H12" s="3"/>
      <c r="I12" s="3"/>
      <c r="J12" s="4"/>
    </row>
    <row r="13" spans="1:10" x14ac:dyDescent="0.2">
      <c r="C13" s="1"/>
      <c r="D13" s="1"/>
      <c r="E13" s="1"/>
      <c r="F13" s="1"/>
      <c r="G13" s="1"/>
      <c r="H13" s="2"/>
      <c r="I13" s="1"/>
      <c r="J13" s="4"/>
    </row>
    <row r="14" spans="1:10" ht="13.5" thickBot="1" x14ac:dyDescent="0.25">
      <c r="I14" t="s">
        <v>6</v>
      </c>
    </row>
    <row r="15" spans="1:10" ht="13.5" thickBot="1" x14ac:dyDescent="0.25">
      <c r="A15" s="5"/>
      <c r="B15" s="5"/>
      <c r="C15" s="6"/>
      <c r="D15" s="7" t="s">
        <v>7</v>
      </c>
      <c r="E15" s="8"/>
      <c r="F15" s="8"/>
      <c r="G15" s="8"/>
      <c r="H15" s="8"/>
      <c r="I15" s="8"/>
      <c r="J15" s="9"/>
    </row>
    <row r="16" spans="1:10" ht="13.5" thickBot="1" x14ac:dyDescent="0.25">
      <c r="A16" s="10" t="s">
        <v>8</v>
      </c>
      <c r="B16" s="10" t="s">
        <v>9</v>
      </c>
      <c r="C16" s="11" t="s">
        <v>10</v>
      </c>
      <c r="D16" s="10"/>
      <c r="E16" s="7" t="s">
        <v>11</v>
      </c>
      <c r="F16" s="8"/>
      <c r="G16" s="8"/>
      <c r="H16" s="8"/>
      <c r="I16" s="8"/>
      <c r="J16" s="9"/>
    </row>
    <row r="17" spans="1:10" ht="13.5" thickBot="1" x14ac:dyDescent="0.25">
      <c r="A17" s="10" t="s">
        <v>12</v>
      </c>
      <c r="B17" s="10" t="s">
        <v>13</v>
      </c>
      <c r="C17" s="11" t="s">
        <v>14</v>
      </c>
      <c r="D17" s="12" t="s">
        <v>15</v>
      </c>
      <c r="E17" s="74" t="s">
        <v>16</v>
      </c>
      <c r="F17" s="75"/>
      <c r="G17" s="74" t="s">
        <v>17</v>
      </c>
      <c r="H17" s="75"/>
      <c r="I17" s="39" t="s">
        <v>18</v>
      </c>
      <c r="J17" s="13" t="s">
        <v>19</v>
      </c>
    </row>
    <row r="18" spans="1:10" ht="13.5" thickBot="1" x14ac:dyDescent="0.25">
      <c r="A18" s="15"/>
      <c r="B18" s="15"/>
      <c r="C18" s="16"/>
      <c r="D18" s="15"/>
      <c r="E18" s="17" t="s">
        <v>20</v>
      </c>
      <c r="F18" s="17" t="s">
        <v>21</v>
      </c>
      <c r="G18" s="17" t="s">
        <v>20</v>
      </c>
      <c r="H18" s="17" t="s">
        <v>21</v>
      </c>
      <c r="I18" s="36"/>
      <c r="J18" s="32" t="s">
        <v>22</v>
      </c>
    </row>
    <row r="19" spans="1:10" ht="13.5" thickBot="1" x14ac:dyDescent="0.25">
      <c r="A19" s="19"/>
      <c r="B19" s="20" t="s">
        <v>23</v>
      </c>
      <c r="C19" s="20" t="s">
        <v>24</v>
      </c>
      <c r="D19" s="20">
        <v>1</v>
      </c>
      <c r="E19" s="20">
        <v>2</v>
      </c>
      <c r="F19" s="20">
        <v>3</v>
      </c>
      <c r="G19" s="20">
        <v>4</v>
      </c>
      <c r="H19" s="20">
        <v>5</v>
      </c>
      <c r="I19" s="40">
        <v>6</v>
      </c>
      <c r="J19" s="20">
        <v>7</v>
      </c>
    </row>
    <row r="20" spans="1:10" ht="13.5" thickBot="1" x14ac:dyDescent="0.25">
      <c r="A20" s="6" t="s">
        <v>25</v>
      </c>
      <c r="B20" s="5" t="s">
        <v>26</v>
      </c>
      <c r="C20" s="17">
        <v>10</v>
      </c>
      <c r="D20" s="19">
        <f>G20+I20</f>
        <v>28</v>
      </c>
      <c r="E20" s="19"/>
      <c r="F20" s="5"/>
      <c r="G20" s="5">
        <v>12</v>
      </c>
      <c r="H20" s="5"/>
      <c r="I20" s="25">
        <v>16</v>
      </c>
      <c r="J20" s="5"/>
    </row>
    <row r="21" spans="1:10" ht="13.5" thickBot="1" x14ac:dyDescent="0.25">
      <c r="A21" s="10"/>
      <c r="B21" s="10" t="s">
        <v>27</v>
      </c>
      <c r="C21" s="17">
        <v>11</v>
      </c>
      <c r="D21" s="19">
        <f t="shared" ref="D21:D62" si="0">G21+I21</f>
        <v>7</v>
      </c>
      <c r="E21" s="19"/>
      <c r="F21" s="19"/>
      <c r="G21" s="19">
        <v>4</v>
      </c>
      <c r="H21" s="19"/>
      <c r="I21" s="7">
        <v>3</v>
      </c>
      <c r="J21" s="5"/>
    </row>
    <row r="22" spans="1:10" ht="13.5" thickBot="1" x14ac:dyDescent="0.25">
      <c r="A22" s="10"/>
      <c r="B22" s="10" t="s">
        <v>28</v>
      </c>
      <c r="C22" s="17">
        <v>14</v>
      </c>
      <c r="D22" s="19">
        <f t="shared" si="0"/>
        <v>58</v>
      </c>
      <c r="E22" s="19"/>
      <c r="F22" s="10"/>
      <c r="G22" s="10">
        <v>27</v>
      </c>
      <c r="H22" s="10"/>
      <c r="I22" s="35">
        <v>31</v>
      </c>
      <c r="J22" s="41"/>
    </row>
    <row r="23" spans="1:10" ht="13.5" thickBot="1" x14ac:dyDescent="0.25">
      <c r="A23" s="10"/>
      <c r="B23" s="10"/>
      <c r="C23" s="17">
        <v>17</v>
      </c>
      <c r="D23" s="19">
        <f t="shared" si="0"/>
        <v>21</v>
      </c>
      <c r="E23" s="19"/>
      <c r="F23" s="19"/>
      <c r="G23" s="19">
        <v>12</v>
      </c>
      <c r="H23" s="19"/>
      <c r="I23" s="7">
        <v>9</v>
      </c>
      <c r="J23" s="41"/>
    </row>
    <row r="24" spans="1:10" ht="13.5" thickBot="1" x14ac:dyDescent="0.25">
      <c r="A24" s="21"/>
      <c r="B24" s="15"/>
      <c r="C24" s="17">
        <v>18</v>
      </c>
      <c r="D24" s="19">
        <f t="shared" si="0"/>
        <v>11</v>
      </c>
      <c r="E24" s="19"/>
      <c r="F24" s="15"/>
      <c r="G24" s="15">
        <v>5</v>
      </c>
      <c r="H24" s="15"/>
      <c r="I24" s="36">
        <v>6</v>
      </c>
      <c r="J24" s="41"/>
    </row>
    <row r="25" spans="1:10" ht="13.5" thickBot="1" x14ac:dyDescent="0.25">
      <c r="A25" s="15"/>
      <c r="B25" s="22" t="s">
        <v>29</v>
      </c>
      <c r="C25" s="19"/>
      <c r="D25" s="19">
        <f>G25+I25</f>
        <v>125</v>
      </c>
      <c r="E25" s="22">
        <f t="shared" ref="E25:J25" si="1">SUM(E20:E24)</f>
        <v>0</v>
      </c>
      <c r="F25" s="22">
        <f t="shared" si="1"/>
        <v>0</v>
      </c>
      <c r="G25" s="22">
        <f t="shared" si="1"/>
        <v>60</v>
      </c>
      <c r="H25" s="22">
        <f t="shared" si="1"/>
        <v>0</v>
      </c>
      <c r="I25" s="22">
        <f t="shared" si="1"/>
        <v>65</v>
      </c>
      <c r="J25" s="22">
        <f t="shared" si="1"/>
        <v>0</v>
      </c>
    </row>
    <row r="26" spans="1:10" ht="13.5" thickBot="1" x14ac:dyDescent="0.25">
      <c r="A26" s="6" t="s">
        <v>30</v>
      </c>
      <c r="B26" t="s">
        <v>31</v>
      </c>
      <c r="C26" s="6">
        <v>20</v>
      </c>
      <c r="D26" s="19">
        <f t="shared" si="0"/>
        <v>0</v>
      </c>
      <c r="E26" s="5"/>
      <c r="F26" s="5"/>
      <c r="G26" s="5"/>
      <c r="H26" s="5"/>
      <c r="I26" s="25"/>
      <c r="J26" s="5"/>
    </row>
    <row r="27" spans="1:10" ht="13.5" thickBot="1" x14ac:dyDescent="0.25">
      <c r="A27" s="10"/>
      <c r="B27" t="s">
        <v>32</v>
      </c>
      <c r="C27" s="17">
        <v>21</v>
      </c>
      <c r="D27" s="19">
        <f t="shared" si="0"/>
        <v>5</v>
      </c>
      <c r="E27" s="19"/>
      <c r="F27" s="19"/>
      <c r="G27" s="19">
        <v>3</v>
      </c>
      <c r="H27" s="19"/>
      <c r="I27" s="7">
        <v>2</v>
      </c>
      <c r="J27" s="19"/>
    </row>
    <row r="28" spans="1:10" ht="13.5" thickBot="1" x14ac:dyDescent="0.25">
      <c r="A28" s="10"/>
      <c r="C28" s="11">
        <v>24</v>
      </c>
      <c r="D28" s="19">
        <f t="shared" si="0"/>
        <v>6</v>
      </c>
      <c r="E28" s="19"/>
      <c r="F28" s="10"/>
      <c r="G28" s="10">
        <v>4</v>
      </c>
      <c r="H28" s="10"/>
      <c r="I28" s="7">
        <v>2</v>
      </c>
      <c r="J28" s="10"/>
    </row>
    <row r="29" spans="1:10" ht="13.5" thickBot="1" x14ac:dyDescent="0.25">
      <c r="A29" s="10"/>
      <c r="C29" s="17">
        <v>25</v>
      </c>
      <c r="D29" s="19">
        <f t="shared" si="0"/>
        <v>0</v>
      </c>
      <c r="E29" s="10"/>
      <c r="F29" s="19"/>
      <c r="G29" s="19"/>
      <c r="H29" s="19"/>
      <c r="I29" s="35"/>
      <c r="J29" s="19"/>
    </row>
    <row r="30" spans="1:10" ht="13.5" thickBot="1" x14ac:dyDescent="0.25">
      <c r="A30" s="10"/>
      <c r="C30" s="17">
        <v>26</v>
      </c>
      <c r="D30" s="19">
        <f t="shared" si="0"/>
        <v>2</v>
      </c>
      <c r="E30" s="19"/>
      <c r="F30" s="19"/>
      <c r="G30" s="19">
        <v>2</v>
      </c>
      <c r="H30" s="19"/>
      <c r="I30" s="7"/>
      <c r="J30" s="19"/>
    </row>
    <row r="31" spans="1:10" ht="13.5" thickBot="1" x14ac:dyDescent="0.25">
      <c r="A31" s="10"/>
      <c r="C31" s="16">
        <v>27</v>
      </c>
      <c r="D31" s="19">
        <f t="shared" si="0"/>
        <v>0</v>
      </c>
      <c r="E31" s="15"/>
      <c r="F31" s="15"/>
      <c r="G31" s="15"/>
      <c r="H31" s="15"/>
      <c r="I31" s="36"/>
      <c r="J31" s="15"/>
    </row>
    <row r="32" spans="1:10" ht="13.5" thickBot="1" x14ac:dyDescent="0.25">
      <c r="A32" s="15"/>
      <c r="B32" s="23" t="s">
        <v>29</v>
      </c>
      <c r="C32" s="19"/>
      <c r="D32" s="19">
        <f t="shared" si="0"/>
        <v>13</v>
      </c>
      <c r="E32" s="22">
        <f t="shared" ref="E32:J32" si="2">SUM(E26:E31)</f>
        <v>0</v>
      </c>
      <c r="F32" s="22">
        <f t="shared" si="2"/>
        <v>0</v>
      </c>
      <c r="G32" s="22">
        <f>SUM(G27:G31)</f>
        <v>9</v>
      </c>
      <c r="H32" s="22"/>
      <c r="I32" s="22">
        <f>SUM(I27:I31)</f>
        <v>4</v>
      </c>
      <c r="J32" s="22">
        <f t="shared" si="2"/>
        <v>0</v>
      </c>
    </row>
    <row r="33" spans="1:10" ht="13.5" thickBot="1" x14ac:dyDescent="0.25">
      <c r="A33" s="6" t="s">
        <v>33</v>
      </c>
      <c r="B33" s="24" t="s">
        <v>34</v>
      </c>
      <c r="C33" s="17" t="s">
        <v>35</v>
      </c>
      <c r="D33" s="19">
        <f t="shared" si="0"/>
        <v>1</v>
      </c>
      <c r="E33" s="5"/>
      <c r="F33" s="5"/>
      <c r="G33" s="5"/>
      <c r="H33" s="5"/>
      <c r="I33" s="25">
        <v>1</v>
      </c>
      <c r="J33" s="5"/>
    </row>
    <row r="34" spans="1:10" ht="13.5" thickBot="1" x14ac:dyDescent="0.25">
      <c r="A34" s="10"/>
      <c r="B34" s="26" t="s">
        <v>36</v>
      </c>
      <c r="C34" s="17" t="s">
        <v>37</v>
      </c>
      <c r="D34" s="19">
        <f t="shared" si="0"/>
        <v>5</v>
      </c>
      <c r="E34" s="19"/>
      <c r="F34" s="19"/>
      <c r="G34" s="19">
        <v>1</v>
      </c>
      <c r="H34" s="19"/>
      <c r="I34" s="7">
        <v>4</v>
      </c>
      <c r="J34" s="19"/>
    </row>
    <row r="35" spans="1:10" ht="13.5" thickBot="1" x14ac:dyDescent="0.25">
      <c r="A35" s="10"/>
      <c r="B35" s="27" t="s">
        <v>38</v>
      </c>
      <c r="C35" s="17">
        <v>38</v>
      </c>
      <c r="D35" s="19">
        <f t="shared" si="0"/>
        <v>0</v>
      </c>
      <c r="E35" s="15"/>
      <c r="F35" s="15"/>
      <c r="G35" s="15"/>
      <c r="H35" s="15"/>
      <c r="I35" s="36"/>
      <c r="J35" s="15"/>
    </row>
    <row r="36" spans="1:10" ht="13.5" thickBot="1" x14ac:dyDescent="0.25">
      <c r="A36" s="15"/>
      <c r="B36" s="22" t="s">
        <v>29</v>
      </c>
      <c r="C36" s="19"/>
      <c r="D36" s="19">
        <f t="shared" si="0"/>
        <v>6</v>
      </c>
      <c r="E36" s="22">
        <f t="shared" ref="E36:J36" si="3">SUM(E33:E35)</f>
        <v>0</v>
      </c>
      <c r="F36" s="22">
        <f t="shared" si="3"/>
        <v>0</v>
      </c>
      <c r="G36" s="22">
        <f>SUM(G33:G35)</f>
        <v>1</v>
      </c>
      <c r="H36" s="22"/>
      <c r="I36" s="22">
        <f>SUM(I33:I35)</f>
        <v>5</v>
      </c>
      <c r="J36" s="22">
        <f t="shared" si="3"/>
        <v>0</v>
      </c>
    </row>
    <row r="37" spans="1:10" ht="13.5" thickBot="1" x14ac:dyDescent="0.25">
      <c r="A37" s="6" t="s">
        <v>39</v>
      </c>
      <c r="B37" t="s">
        <v>40</v>
      </c>
      <c r="C37" s="17">
        <v>40</v>
      </c>
      <c r="D37" s="19">
        <f t="shared" si="0"/>
        <v>1</v>
      </c>
      <c r="E37" s="5"/>
      <c r="F37" s="5"/>
      <c r="G37" s="5"/>
      <c r="H37" s="5"/>
      <c r="I37" s="25">
        <v>1</v>
      </c>
      <c r="J37" s="5"/>
    </row>
    <row r="38" spans="1:10" ht="13.5" thickBot="1" x14ac:dyDescent="0.25">
      <c r="A38" s="10"/>
      <c r="B38" t="s">
        <v>41</v>
      </c>
      <c r="C38" s="17">
        <v>41</v>
      </c>
      <c r="D38" s="19">
        <f t="shared" si="0"/>
        <v>1</v>
      </c>
      <c r="E38" s="19"/>
      <c r="F38" s="19"/>
      <c r="G38" s="19"/>
      <c r="H38" s="19"/>
      <c r="I38" s="7">
        <v>1</v>
      </c>
      <c r="J38" s="19"/>
    </row>
    <row r="39" spans="1:10" ht="13.5" thickBot="1" x14ac:dyDescent="0.25">
      <c r="A39" s="10"/>
      <c r="C39" s="17">
        <v>43</v>
      </c>
      <c r="D39" s="19">
        <f t="shared" si="0"/>
        <v>0</v>
      </c>
      <c r="E39" s="10"/>
      <c r="F39" s="10"/>
      <c r="G39" s="10"/>
      <c r="H39" s="10"/>
      <c r="I39" s="7"/>
      <c r="J39" s="10"/>
    </row>
    <row r="40" spans="1:10" ht="13.5" thickBot="1" x14ac:dyDescent="0.25">
      <c r="A40" s="10"/>
      <c r="C40" s="17">
        <v>44</v>
      </c>
      <c r="D40" s="19">
        <f t="shared" si="0"/>
        <v>0</v>
      </c>
      <c r="E40" s="19"/>
      <c r="F40" s="19"/>
      <c r="G40" s="19"/>
      <c r="H40" s="19"/>
      <c r="I40" s="7"/>
      <c r="J40" s="19"/>
    </row>
    <row r="41" spans="1:10" ht="13.5" thickBot="1" x14ac:dyDescent="0.25">
      <c r="A41" s="10"/>
      <c r="C41" s="17">
        <v>46</v>
      </c>
      <c r="D41" s="19">
        <f t="shared" si="0"/>
        <v>0</v>
      </c>
      <c r="E41" s="10"/>
      <c r="F41" s="10"/>
      <c r="G41" s="10"/>
      <c r="H41" s="10"/>
      <c r="I41" s="35"/>
      <c r="J41" s="10"/>
    </row>
    <row r="42" spans="1:10" ht="13.5" thickBot="1" x14ac:dyDescent="0.25">
      <c r="A42" s="10"/>
      <c r="C42" s="17">
        <v>47</v>
      </c>
      <c r="D42" s="19">
        <f t="shared" si="0"/>
        <v>0</v>
      </c>
      <c r="E42" s="19"/>
      <c r="F42" s="19"/>
      <c r="G42" s="19"/>
      <c r="H42" s="19"/>
      <c r="I42" s="7"/>
      <c r="J42" s="19"/>
    </row>
    <row r="43" spans="1:10" ht="13.5" thickBot="1" x14ac:dyDescent="0.25">
      <c r="A43" s="10"/>
      <c r="C43" s="11">
        <v>49</v>
      </c>
      <c r="D43" s="19">
        <f t="shared" si="0"/>
        <v>0</v>
      </c>
      <c r="E43" s="10"/>
      <c r="F43" s="10"/>
      <c r="G43" s="10"/>
      <c r="H43" s="10"/>
      <c r="I43" s="35"/>
      <c r="J43" s="10"/>
    </row>
    <row r="44" spans="1:10" ht="13.5" thickBot="1" x14ac:dyDescent="0.25">
      <c r="A44" s="15"/>
      <c r="B44" s="22" t="s">
        <v>29</v>
      </c>
      <c r="C44" s="19"/>
      <c r="D44" s="19">
        <f t="shared" si="0"/>
        <v>2</v>
      </c>
      <c r="E44" s="22">
        <f t="shared" ref="E44:J44" si="4">SUM(E37:E43)</f>
        <v>0</v>
      </c>
      <c r="F44" s="22">
        <f t="shared" si="4"/>
        <v>0</v>
      </c>
      <c r="G44" s="22">
        <f t="shared" si="4"/>
        <v>0</v>
      </c>
      <c r="H44" s="22">
        <f t="shared" si="4"/>
        <v>0</v>
      </c>
      <c r="I44" s="22">
        <f t="shared" si="4"/>
        <v>2</v>
      </c>
      <c r="J44" s="22">
        <f t="shared" si="4"/>
        <v>0</v>
      </c>
    </row>
    <row r="45" spans="1:10" ht="13.5" thickBot="1" x14ac:dyDescent="0.25">
      <c r="A45" s="6" t="s">
        <v>42</v>
      </c>
      <c r="B45" s="4" t="s">
        <v>43</v>
      </c>
      <c r="C45" s="17">
        <v>50</v>
      </c>
      <c r="D45" s="19">
        <f t="shared" si="0"/>
        <v>0</v>
      </c>
      <c r="E45" s="9"/>
      <c r="F45" s="19"/>
      <c r="G45" s="19"/>
      <c r="H45" s="19"/>
      <c r="I45" s="7"/>
      <c r="J45" s="19"/>
    </row>
    <row r="46" spans="1:10" ht="13.5" thickBot="1" x14ac:dyDescent="0.25">
      <c r="A46" s="10"/>
      <c r="B46" t="s">
        <v>44</v>
      </c>
      <c r="C46" s="17">
        <v>52</v>
      </c>
      <c r="D46" s="19">
        <f t="shared" si="0"/>
        <v>0</v>
      </c>
      <c r="E46" s="19"/>
      <c r="F46" s="5"/>
      <c r="G46" s="5"/>
      <c r="H46" s="5"/>
      <c r="I46" s="25"/>
      <c r="J46" s="5"/>
    </row>
    <row r="47" spans="1:10" ht="13.5" thickBot="1" x14ac:dyDescent="0.25">
      <c r="A47" s="10"/>
      <c r="B47" s="1"/>
      <c r="C47" s="17">
        <v>53</v>
      </c>
      <c r="D47" s="19">
        <f t="shared" si="0"/>
        <v>0</v>
      </c>
      <c r="E47" s="28"/>
      <c r="F47" s="19"/>
      <c r="G47" s="19"/>
      <c r="H47" s="19"/>
      <c r="I47" s="7"/>
      <c r="J47" s="19"/>
    </row>
    <row r="48" spans="1:10" ht="13.5" thickBot="1" x14ac:dyDescent="0.25">
      <c r="A48" s="10"/>
      <c r="C48" s="17">
        <v>55</v>
      </c>
      <c r="D48" s="19">
        <f t="shared" si="0"/>
        <v>2</v>
      </c>
      <c r="E48" s="19"/>
      <c r="F48" s="10"/>
      <c r="G48" s="10"/>
      <c r="H48" s="10"/>
      <c r="I48" s="35">
        <v>2</v>
      </c>
      <c r="J48" s="10"/>
    </row>
    <row r="49" spans="1:10" ht="13.5" thickBot="1" x14ac:dyDescent="0.25">
      <c r="A49" s="10"/>
      <c r="C49" s="17">
        <v>56</v>
      </c>
      <c r="D49" s="19">
        <f t="shared" si="0"/>
        <v>0</v>
      </c>
      <c r="E49" s="27"/>
      <c r="F49" s="19"/>
      <c r="G49" s="19"/>
      <c r="H49" s="19"/>
      <c r="I49" s="7"/>
      <c r="J49" s="19"/>
    </row>
    <row r="50" spans="1:10" ht="13.5" thickBot="1" x14ac:dyDescent="0.25">
      <c r="A50" s="10"/>
      <c r="C50" s="16">
        <v>59</v>
      </c>
      <c r="D50" s="19">
        <f t="shared" si="0"/>
        <v>0</v>
      </c>
      <c r="F50" s="15"/>
      <c r="G50" s="15"/>
      <c r="H50" s="15"/>
      <c r="I50" s="36"/>
      <c r="J50" s="15"/>
    </row>
    <row r="51" spans="1:10" ht="13.5" thickBot="1" x14ac:dyDescent="0.25">
      <c r="A51" s="15"/>
      <c r="B51" s="22" t="s">
        <v>29</v>
      </c>
      <c r="C51" s="19"/>
      <c r="D51" s="19">
        <f t="shared" si="0"/>
        <v>2</v>
      </c>
      <c r="E51" s="22">
        <f t="shared" ref="E51:J51" si="5">E45+E46+E47+E48+E49+E50</f>
        <v>0</v>
      </c>
      <c r="F51" s="22">
        <f t="shared" si="5"/>
        <v>0</v>
      </c>
      <c r="G51" s="22">
        <f t="shared" si="5"/>
        <v>0</v>
      </c>
      <c r="H51" s="22">
        <f t="shared" si="5"/>
        <v>0</v>
      </c>
      <c r="I51" s="22">
        <f t="shared" si="5"/>
        <v>2</v>
      </c>
      <c r="J51" s="22">
        <f t="shared" si="5"/>
        <v>0</v>
      </c>
    </row>
    <row r="52" spans="1:10" ht="13.5" thickBot="1" x14ac:dyDescent="0.25">
      <c r="A52" s="6" t="s">
        <v>45</v>
      </c>
      <c r="B52" t="s">
        <v>43</v>
      </c>
      <c r="C52" s="6">
        <v>60</v>
      </c>
      <c r="D52" s="19">
        <f t="shared" si="0"/>
        <v>0</v>
      </c>
      <c r="E52" s="5"/>
      <c r="F52" s="5"/>
      <c r="G52" s="5"/>
      <c r="H52" s="5"/>
      <c r="I52" s="25"/>
      <c r="J52" s="5"/>
    </row>
    <row r="53" spans="1:10" ht="13.5" thickBot="1" x14ac:dyDescent="0.25">
      <c r="A53" s="10"/>
      <c r="B53" t="s">
        <v>46</v>
      </c>
      <c r="C53" s="17">
        <v>62</v>
      </c>
      <c r="D53" s="19">
        <f t="shared" si="0"/>
        <v>0</v>
      </c>
      <c r="E53" s="19"/>
      <c r="F53" s="19"/>
      <c r="G53" s="19"/>
      <c r="H53" s="19"/>
      <c r="I53" s="7"/>
      <c r="J53" s="19"/>
    </row>
    <row r="54" spans="1:10" ht="13.5" thickBot="1" x14ac:dyDescent="0.25">
      <c r="A54" s="10"/>
      <c r="C54" s="11">
        <v>65</v>
      </c>
      <c r="D54" s="19">
        <f t="shared" si="0"/>
        <v>0</v>
      </c>
      <c r="E54" s="10"/>
      <c r="F54" s="10"/>
      <c r="G54" s="10"/>
      <c r="H54" s="10"/>
      <c r="I54" s="35"/>
      <c r="J54" s="10"/>
    </row>
    <row r="55" spans="1:10" ht="13.5" thickBot="1" x14ac:dyDescent="0.25">
      <c r="A55" s="10"/>
      <c r="C55" s="17">
        <v>66</v>
      </c>
      <c r="D55" s="19">
        <f t="shared" si="0"/>
        <v>0</v>
      </c>
      <c r="E55" s="19"/>
      <c r="F55" s="19"/>
      <c r="G55" s="19"/>
      <c r="H55" s="19"/>
      <c r="I55" s="7"/>
      <c r="J55" s="19"/>
    </row>
    <row r="56" spans="1:10" ht="13.5" thickBot="1" x14ac:dyDescent="0.25">
      <c r="A56" s="10"/>
      <c r="C56" s="16">
        <v>69</v>
      </c>
      <c r="D56" s="19">
        <f t="shared" si="0"/>
        <v>0</v>
      </c>
      <c r="E56" s="15"/>
      <c r="F56" s="15"/>
      <c r="G56" s="15"/>
      <c r="H56" s="15"/>
      <c r="I56" s="36"/>
      <c r="J56" s="15"/>
    </row>
    <row r="57" spans="1:10" ht="13.5" thickBot="1" x14ac:dyDescent="0.25">
      <c r="A57" s="15"/>
      <c r="B57" s="22" t="s">
        <v>29</v>
      </c>
      <c r="C57" s="19"/>
      <c r="D57" s="19">
        <f t="shared" si="0"/>
        <v>0</v>
      </c>
      <c r="E57" s="22">
        <f t="shared" ref="E57:J57" si="6">E52+E53+E54+E55+E56</f>
        <v>0</v>
      </c>
      <c r="F57" s="22">
        <f t="shared" si="6"/>
        <v>0</v>
      </c>
      <c r="G57" s="22">
        <f t="shared" si="6"/>
        <v>0</v>
      </c>
      <c r="H57" s="22">
        <f t="shared" si="6"/>
        <v>0</v>
      </c>
      <c r="I57" s="22">
        <f t="shared" si="6"/>
        <v>0</v>
      </c>
      <c r="J57" s="22">
        <f t="shared" si="6"/>
        <v>0</v>
      </c>
    </row>
    <row r="58" spans="1:10" ht="13.5" thickBot="1" x14ac:dyDescent="0.25">
      <c r="A58" s="76" t="s">
        <v>47</v>
      </c>
      <c r="B58" t="s">
        <v>48</v>
      </c>
      <c r="C58" s="6">
        <v>70</v>
      </c>
      <c r="D58" s="19">
        <f t="shared" si="0"/>
        <v>0</v>
      </c>
      <c r="E58" s="5"/>
      <c r="G58" s="5"/>
      <c r="I58" s="25"/>
      <c r="J58" s="5"/>
    </row>
    <row r="59" spans="1:10" ht="13.5" thickBot="1" x14ac:dyDescent="0.25">
      <c r="A59" s="77"/>
      <c r="B59" t="s">
        <v>49</v>
      </c>
      <c r="C59" s="17">
        <v>74</v>
      </c>
      <c r="D59" s="19">
        <f t="shared" si="0"/>
        <v>0</v>
      </c>
      <c r="E59" s="19"/>
      <c r="F59" s="19"/>
      <c r="G59" s="19"/>
      <c r="H59" s="19"/>
      <c r="I59" s="7"/>
      <c r="J59" s="19"/>
    </row>
    <row r="60" spans="1:10" ht="13.5" thickBot="1" x14ac:dyDescent="0.25">
      <c r="A60" s="10"/>
      <c r="C60" s="11">
        <v>79</v>
      </c>
      <c r="D60" s="19">
        <f t="shared" si="0"/>
        <v>0</v>
      </c>
      <c r="E60" s="10"/>
      <c r="G60" s="10"/>
      <c r="I60" s="35"/>
      <c r="J60" s="10"/>
    </row>
    <row r="61" spans="1:10" ht="13.5" thickBot="1" x14ac:dyDescent="0.25">
      <c r="A61" s="10"/>
      <c r="C61" s="19"/>
      <c r="D61" s="19">
        <f t="shared" si="0"/>
        <v>0</v>
      </c>
      <c r="E61" s="19"/>
      <c r="F61" s="19"/>
      <c r="G61" s="19"/>
      <c r="H61" s="19"/>
      <c r="I61" s="7"/>
      <c r="J61" s="19"/>
    </row>
    <row r="62" spans="1:10" ht="13.5" thickBot="1" x14ac:dyDescent="0.25">
      <c r="A62" s="15"/>
      <c r="B62" s="22" t="s">
        <v>29</v>
      </c>
      <c r="C62" s="19"/>
      <c r="D62" s="19">
        <f t="shared" si="0"/>
        <v>0</v>
      </c>
      <c r="E62" s="34">
        <f t="shared" ref="E62:J62" si="7">E58+E59+E60</f>
        <v>0</v>
      </c>
      <c r="F62" s="34">
        <f t="shared" si="7"/>
        <v>0</v>
      </c>
      <c r="G62" s="34">
        <f t="shared" si="7"/>
        <v>0</v>
      </c>
      <c r="H62" s="34">
        <f t="shared" si="7"/>
        <v>0</v>
      </c>
      <c r="I62" s="34">
        <f t="shared" si="7"/>
        <v>0</v>
      </c>
      <c r="J62" s="34">
        <f t="shared" si="7"/>
        <v>0</v>
      </c>
    </row>
    <row r="63" spans="1:10" ht="13.5" thickBot="1" x14ac:dyDescent="0.25">
      <c r="B63" s="4"/>
      <c r="C63" s="29"/>
    </row>
    <row r="64" spans="1:10" ht="13.5" thickBot="1" x14ac:dyDescent="0.25">
      <c r="A64" s="5"/>
      <c r="B64" s="5"/>
      <c r="C64" s="5"/>
      <c r="D64" s="7" t="s">
        <v>7</v>
      </c>
      <c r="E64" s="8"/>
      <c r="F64" s="8"/>
      <c r="G64" s="8"/>
      <c r="H64" s="8"/>
      <c r="I64" s="8"/>
      <c r="J64" s="9"/>
    </row>
    <row r="65" spans="1:12" ht="13.5" thickBot="1" x14ac:dyDescent="0.25">
      <c r="A65" s="10" t="s">
        <v>8</v>
      </c>
      <c r="B65" s="10" t="s">
        <v>9</v>
      </c>
      <c r="C65" s="10" t="s">
        <v>10</v>
      </c>
      <c r="D65" s="10"/>
      <c r="E65" s="7" t="s">
        <v>11</v>
      </c>
      <c r="F65" s="8"/>
      <c r="G65" s="8"/>
      <c r="H65" s="8"/>
      <c r="I65" s="8"/>
      <c r="J65" s="9"/>
    </row>
    <row r="66" spans="1:12" ht="13.5" thickBot="1" x14ac:dyDescent="0.25">
      <c r="A66" s="10" t="s">
        <v>12</v>
      </c>
      <c r="B66" s="10" t="s">
        <v>13</v>
      </c>
      <c r="C66" s="10" t="s">
        <v>14</v>
      </c>
      <c r="D66" s="12" t="s">
        <v>15</v>
      </c>
      <c r="E66" s="74" t="s">
        <v>16</v>
      </c>
      <c r="F66" s="75"/>
      <c r="G66" s="74" t="s">
        <v>17</v>
      </c>
      <c r="H66" s="75"/>
      <c r="I66" s="30" t="s">
        <v>18</v>
      </c>
      <c r="J66" s="14" t="s">
        <v>19</v>
      </c>
    </row>
    <row r="67" spans="1:12" ht="13.5" thickBot="1" x14ac:dyDescent="0.25">
      <c r="A67" s="15"/>
      <c r="B67" s="15"/>
      <c r="C67" s="15"/>
      <c r="D67" s="15"/>
      <c r="E67" s="17" t="s">
        <v>20</v>
      </c>
      <c r="F67" s="17" t="s">
        <v>21</v>
      </c>
      <c r="G67" s="17" t="s">
        <v>20</v>
      </c>
      <c r="H67" s="17" t="s">
        <v>21</v>
      </c>
      <c r="I67" s="31"/>
      <c r="J67" s="18" t="s">
        <v>22</v>
      </c>
    </row>
    <row r="68" spans="1:12" ht="13.5" thickBot="1" x14ac:dyDescent="0.25">
      <c r="A68" s="19"/>
      <c r="B68" s="20" t="s">
        <v>23</v>
      </c>
      <c r="C68" s="20" t="s">
        <v>24</v>
      </c>
      <c r="D68" s="20">
        <v>1</v>
      </c>
      <c r="E68" s="20">
        <v>2</v>
      </c>
      <c r="F68" s="20">
        <v>3</v>
      </c>
      <c r="G68" s="20">
        <v>4</v>
      </c>
      <c r="H68" s="20">
        <v>5</v>
      </c>
      <c r="I68" s="20">
        <v>6</v>
      </c>
      <c r="J68" s="20">
        <v>7</v>
      </c>
    </row>
    <row r="69" spans="1:12" ht="13.5" thickBot="1" x14ac:dyDescent="0.25">
      <c r="A69" s="6" t="s">
        <v>50</v>
      </c>
      <c r="B69" t="s">
        <v>51</v>
      </c>
      <c r="C69" s="16">
        <v>85</v>
      </c>
      <c r="D69" s="19">
        <f t="shared" ref="D69:D74" si="8">G69+I69</f>
        <v>0</v>
      </c>
      <c r="F69" s="15"/>
      <c r="G69" s="15"/>
      <c r="H69" s="15"/>
      <c r="J69" s="15"/>
    </row>
    <row r="70" spans="1:12" ht="13.5" thickBot="1" x14ac:dyDescent="0.25">
      <c r="A70" s="10"/>
      <c r="B70" t="s">
        <v>52</v>
      </c>
      <c r="C70" s="17">
        <v>86</v>
      </c>
      <c r="D70" s="19">
        <f t="shared" si="8"/>
        <v>0</v>
      </c>
      <c r="E70" s="19"/>
      <c r="F70" s="19"/>
      <c r="G70" s="19"/>
      <c r="H70" s="19"/>
      <c r="I70" s="19"/>
      <c r="J70" s="15"/>
    </row>
    <row r="71" spans="1:12" ht="13.5" thickBot="1" x14ac:dyDescent="0.25">
      <c r="A71" s="15"/>
      <c r="B71" s="22" t="s">
        <v>29</v>
      </c>
      <c r="C71" s="19"/>
      <c r="D71" s="19">
        <f t="shared" si="8"/>
        <v>0</v>
      </c>
      <c r="E71" s="19">
        <f t="shared" ref="E71:J71" si="9">E69+E70</f>
        <v>0</v>
      </c>
      <c r="F71" s="19">
        <f t="shared" si="9"/>
        <v>0</v>
      </c>
      <c r="G71" s="19">
        <f t="shared" si="9"/>
        <v>0</v>
      </c>
      <c r="H71" s="19">
        <f t="shared" si="9"/>
        <v>0</v>
      </c>
      <c r="I71" s="19">
        <f t="shared" si="9"/>
        <v>0</v>
      </c>
      <c r="J71" s="19">
        <f t="shared" si="9"/>
        <v>0</v>
      </c>
    </row>
    <row r="72" spans="1:12" ht="13.5" thickBot="1" x14ac:dyDescent="0.25">
      <c r="A72" s="6" t="s">
        <v>53</v>
      </c>
      <c r="B72" t="s">
        <v>54</v>
      </c>
      <c r="C72" s="6"/>
      <c r="D72" s="19">
        <f t="shared" si="8"/>
        <v>0</v>
      </c>
      <c r="F72" s="5"/>
      <c r="G72" s="5"/>
      <c r="H72" s="5"/>
      <c r="I72" s="5"/>
      <c r="J72" s="5"/>
    </row>
    <row r="73" spans="1:12" ht="13.5" thickBot="1" x14ac:dyDescent="0.25">
      <c r="A73" s="10"/>
      <c r="B73" t="s">
        <v>55</v>
      </c>
      <c r="C73" s="16">
        <v>99</v>
      </c>
      <c r="D73" s="19">
        <f t="shared" si="8"/>
        <v>0</v>
      </c>
      <c r="E73" s="15"/>
      <c r="F73" s="15"/>
      <c r="G73" s="15"/>
      <c r="H73" s="15"/>
      <c r="I73" s="15"/>
      <c r="J73" s="15"/>
    </row>
    <row r="74" spans="1:12" ht="13.5" thickBot="1" x14ac:dyDescent="0.25">
      <c r="A74" s="15"/>
      <c r="B74" s="22" t="s">
        <v>29</v>
      </c>
      <c r="C74" s="19"/>
      <c r="D74" s="19">
        <f t="shared" si="8"/>
        <v>0</v>
      </c>
      <c r="E74" s="19">
        <f t="shared" ref="E74:J74" si="10">E73</f>
        <v>0</v>
      </c>
      <c r="F74" s="19">
        <f t="shared" si="10"/>
        <v>0</v>
      </c>
      <c r="G74" s="19">
        <f t="shared" si="10"/>
        <v>0</v>
      </c>
      <c r="H74" s="19">
        <f t="shared" si="10"/>
        <v>0</v>
      </c>
      <c r="I74" s="19">
        <f t="shared" si="10"/>
        <v>0</v>
      </c>
      <c r="J74" s="19">
        <f t="shared" si="10"/>
        <v>0</v>
      </c>
    </row>
    <row r="75" spans="1:12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L75" t="s">
        <v>72</v>
      </c>
    </row>
    <row r="76" spans="1:12" ht="13.5" thickBot="1" x14ac:dyDescent="0.25">
      <c r="A76" s="15"/>
      <c r="B76" s="32" t="s">
        <v>56</v>
      </c>
      <c r="C76" s="15"/>
      <c r="D76" s="32">
        <f>D25+D32+D36+D44+D51+D57+D62+D71+D74</f>
        <v>148</v>
      </c>
      <c r="E76" s="32">
        <f t="shared" ref="E76:J76" si="11">E25+E32+E36+E44+E51+E57+E62+E71+E74</f>
        <v>0</v>
      </c>
      <c r="F76" s="32">
        <f t="shared" si="11"/>
        <v>0</v>
      </c>
      <c r="G76" s="32">
        <f t="shared" si="11"/>
        <v>70</v>
      </c>
      <c r="H76" s="32">
        <f t="shared" si="11"/>
        <v>0</v>
      </c>
      <c r="I76" s="32">
        <f t="shared" si="11"/>
        <v>78</v>
      </c>
      <c r="J76" s="32">
        <f t="shared" si="11"/>
        <v>0</v>
      </c>
    </row>
    <row r="79" spans="1:12" x14ac:dyDescent="0.2">
      <c r="C79" t="s">
        <v>76</v>
      </c>
    </row>
    <row r="80" spans="1:12" x14ac:dyDescent="0.2">
      <c r="B80" t="s">
        <v>57</v>
      </c>
      <c r="C80" t="s">
        <v>58</v>
      </c>
    </row>
    <row r="81" spans="1:10" x14ac:dyDescent="0.2">
      <c r="C81" t="s">
        <v>59</v>
      </c>
    </row>
    <row r="82" spans="1:10" x14ac:dyDescent="0.2">
      <c r="C82" t="s">
        <v>60</v>
      </c>
    </row>
    <row r="84" spans="1:10" s="78" customFormat="1" x14ac:dyDescent="0.2">
      <c r="A84" s="78" t="s">
        <v>70</v>
      </c>
    </row>
    <row r="85" spans="1:10" s="78" customFormat="1" x14ac:dyDescent="0.2"/>
    <row r="86" spans="1:10" x14ac:dyDescent="0.2">
      <c r="A86" s="1" t="s">
        <v>68</v>
      </c>
      <c r="B86" s="1"/>
      <c r="C86" s="1"/>
      <c r="H86" s="72" t="s">
        <v>74</v>
      </c>
      <c r="I86" s="72"/>
      <c r="J86" s="72"/>
    </row>
    <row r="89" spans="1:10" x14ac:dyDescent="0.2">
      <c r="A89" s="73" t="s">
        <v>75</v>
      </c>
      <c r="B89" s="73"/>
    </row>
    <row r="90" spans="1:10" x14ac:dyDescent="0.2">
      <c r="A90" t="s">
        <v>66</v>
      </c>
      <c r="B90" s="42">
        <v>60328</v>
      </c>
    </row>
  </sheetData>
  <mergeCells count="8">
    <mergeCell ref="H86:J86"/>
    <mergeCell ref="A89:B89"/>
    <mergeCell ref="E17:F17"/>
    <mergeCell ref="G17:H17"/>
    <mergeCell ref="A58:A59"/>
    <mergeCell ref="E66:F66"/>
    <mergeCell ref="G66:H66"/>
    <mergeCell ref="A84:XFD85"/>
  </mergeCells>
  <printOptions horizontalCentered="1" verticalCentered="1"/>
  <pageMargins left="0.51181102362204722" right="0.51181102362204722" top="0.35433070866141736" bottom="0.35433070866141736" header="0.31496062992125984" footer="0.31496062992125984"/>
  <pageSetup paperSize="9" scale="6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8"/>
  <sheetViews>
    <sheetView tabSelected="1" zoomScaleNormal="100" zoomScaleSheetLayoutView="100" workbookViewId="0">
      <selection activeCell="N29" sqref="N29"/>
    </sheetView>
  </sheetViews>
  <sheetFormatPr defaultRowHeight="12.75" x14ac:dyDescent="0.2"/>
  <cols>
    <col min="1" max="1" width="4.85546875" style="43" customWidth="1"/>
    <col min="2" max="2" width="28.7109375" style="43" customWidth="1"/>
    <col min="3" max="3" width="8.5703125" style="43" customWidth="1"/>
    <col min="4" max="4" width="8.140625" style="43" customWidth="1"/>
    <col min="5" max="6" width="7.5703125" style="43" customWidth="1"/>
    <col min="7" max="7" width="9.7109375" style="43" customWidth="1"/>
    <col min="8" max="8" width="7.140625" style="43" customWidth="1"/>
    <col min="9" max="9" width="7.5703125" style="43" customWidth="1"/>
    <col min="10" max="10" width="12.7109375" style="43" customWidth="1"/>
    <col min="11" max="16384" width="9.140625" style="43"/>
  </cols>
  <sheetData>
    <row r="1" spans="1:10" x14ac:dyDescent="0.2">
      <c r="J1" s="71" t="s">
        <v>0</v>
      </c>
    </row>
    <row r="2" spans="1:10" x14ac:dyDescent="0.2">
      <c r="J2" s="71" t="s">
        <v>1</v>
      </c>
    </row>
    <row r="3" spans="1:10" x14ac:dyDescent="0.2">
      <c r="J3" s="44"/>
    </row>
    <row r="4" spans="1:10" x14ac:dyDescent="0.2">
      <c r="C4" s="43" t="s">
        <v>3</v>
      </c>
      <c r="J4" s="44"/>
    </row>
    <row r="6" spans="1:10" x14ac:dyDescent="0.2">
      <c r="A6" s="79" t="s">
        <v>110</v>
      </c>
      <c r="B6" s="79"/>
      <c r="C6" s="79"/>
      <c r="D6" s="79"/>
      <c r="E6" s="79"/>
      <c r="F6" s="79"/>
      <c r="G6" s="79"/>
      <c r="H6" s="79"/>
      <c r="I6" s="79"/>
      <c r="J6" s="79"/>
    </row>
    <row r="7" spans="1:10" x14ac:dyDescent="0.2">
      <c r="A7" s="80" t="s">
        <v>5</v>
      </c>
      <c r="B7" s="80"/>
      <c r="C7" s="80"/>
      <c r="D7" s="80"/>
      <c r="E7" s="80"/>
      <c r="F7" s="80"/>
      <c r="G7" s="80"/>
      <c r="H7" s="80"/>
      <c r="I7" s="80"/>
      <c r="J7" s="80"/>
    </row>
    <row r="8" spans="1:10" x14ac:dyDescent="0.2">
      <c r="A8" s="80" t="s">
        <v>77</v>
      </c>
      <c r="B8" s="80"/>
      <c r="C8" s="80"/>
      <c r="D8" s="80"/>
      <c r="E8" s="80"/>
      <c r="F8" s="80"/>
      <c r="G8" s="80"/>
      <c r="H8" s="80"/>
      <c r="I8" s="80"/>
      <c r="J8" s="80"/>
    </row>
    <row r="9" spans="1:10" x14ac:dyDescent="0.2">
      <c r="C9" s="44"/>
      <c r="D9" s="44"/>
      <c r="E9" s="44"/>
      <c r="F9" s="44"/>
      <c r="G9" s="44"/>
      <c r="H9" s="45"/>
      <c r="I9" s="44"/>
    </row>
    <row r="10" spans="1:10" x14ac:dyDescent="0.2">
      <c r="I10" s="43" t="s">
        <v>6</v>
      </c>
    </row>
    <row r="11" spans="1:10" x14ac:dyDescent="0.2">
      <c r="A11" s="56"/>
      <c r="B11" s="56"/>
      <c r="C11" s="57"/>
      <c r="D11" s="85" t="s">
        <v>111</v>
      </c>
      <c r="E11" s="86"/>
      <c r="F11" s="86"/>
      <c r="G11" s="86"/>
      <c r="H11" s="86"/>
      <c r="I11" s="86"/>
      <c r="J11" s="87"/>
    </row>
    <row r="12" spans="1:10" x14ac:dyDescent="0.2">
      <c r="A12" s="56" t="s">
        <v>8</v>
      </c>
      <c r="B12" s="56" t="s">
        <v>9</v>
      </c>
      <c r="C12" s="57" t="s">
        <v>10</v>
      </c>
      <c r="D12" s="56"/>
      <c r="E12" s="85" t="s">
        <v>112</v>
      </c>
      <c r="F12" s="86"/>
      <c r="G12" s="86"/>
      <c r="H12" s="86"/>
      <c r="I12" s="86"/>
      <c r="J12" s="87"/>
    </row>
    <row r="13" spans="1:10" x14ac:dyDescent="0.2">
      <c r="A13" s="56" t="s">
        <v>12</v>
      </c>
      <c r="B13" s="56" t="s">
        <v>13</v>
      </c>
      <c r="C13" s="57" t="s">
        <v>14</v>
      </c>
      <c r="D13" s="58" t="s">
        <v>15</v>
      </c>
      <c r="E13" s="83" t="s">
        <v>16</v>
      </c>
      <c r="F13" s="83"/>
      <c r="G13" s="83" t="s">
        <v>17</v>
      </c>
      <c r="H13" s="83"/>
      <c r="I13" s="60" t="s">
        <v>18</v>
      </c>
      <c r="J13" s="59" t="s">
        <v>19</v>
      </c>
    </row>
    <row r="14" spans="1:10" x14ac:dyDescent="0.2">
      <c r="A14" s="56"/>
      <c r="B14" s="56"/>
      <c r="C14" s="57"/>
      <c r="D14" s="56"/>
      <c r="E14" s="57" t="s">
        <v>20</v>
      </c>
      <c r="F14" s="57" t="s">
        <v>21</v>
      </c>
      <c r="G14" s="57" t="s">
        <v>20</v>
      </c>
      <c r="H14" s="57" t="s">
        <v>21</v>
      </c>
      <c r="I14" s="56"/>
      <c r="J14" s="65" t="s">
        <v>113</v>
      </c>
    </row>
    <row r="15" spans="1:10" x14ac:dyDescent="0.2">
      <c r="A15" s="56"/>
      <c r="B15" s="58" t="s">
        <v>23</v>
      </c>
      <c r="C15" s="58" t="s">
        <v>24</v>
      </c>
      <c r="D15" s="58">
        <v>1</v>
      </c>
      <c r="E15" s="58">
        <v>2</v>
      </c>
      <c r="F15" s="58">
        <v>3</v>
      </c>
      <c r="G15" s="58">
        <v>4</v>
      </c>
      <c r="H15" s="58">
        <v>5</v>
      </c>
      <c r="I15" s="58">
        <v>6</v>
      </c>
      <c r="J15" s="58">
        <v>7</v>
      </c>
    </row>
    <row r="16" spans="1:10" x14ac:dyDescent="0.2">
      <c r="A16" s="57" t="s">
        <v>25</v>
      </c>
      <c r="B16" s="56" t="s">
        <v>26</v>
      </c>
      <c r="C16" s="57">
        <v>10</v>
      </c>
      <c r="D16" s="61">
        <f>SUM(E16:J16)</f>
        <v>0</v>
      </c>
      <c r="E16" s="55"/>
      <c r="F16" s="55"/>
      <c r="G16" s="55"/>
      <c r="H16" s="55"/>
      <c r="I16" s="55"/>
      <c r="J16" s="55"/>
    </row>
    <row r="17" spans="1:10" x14ac:dyDescent="0.2">
      <c r="A17" s="56"/>
      <c r="B17" s="56" t="s">
        <v>27</v>
      </c>
      <c r="C17" s="57">
        <v>11</v>
      </c>
      <c r="D17" s="61">
        <f t="shared" ref="D17:D21" si="0">SUM(E17:J17)</f>
        <v>0</v>
      </c>
      <c r="E17" s="55"/>
      <c r="F17" s="55"/>
      <c r="G17" s="55"/>
      <c r="H17" s="62"/>
      <c r="I17" s="55"/>
      <c r="J17" s="55"/>
    </row>
    <row r="18" spans="1:10" x14ac:dyDescent="0.2">
      <c r="A18" s="56"/>
      <c r="B18" s="56"/>
      <c r="C18" s="57">
        <v>12</v>
      </c>
      <c r="D18" s="61">
        <f t="shared" si="0"/>
        <v>0</v>
      </c>
      <c r="E18" s="55"/>
      <c r="F18" s="55"/>
      <c r="G18" s="55"/>
      <c r="H18" s="62"/>
      <c r="I18" s="55"/>
      <c r="J18" s="55"/>
    </row>
    <row r="19" spans="1:10" x14ac:dyDescent="0.2">
      <c r="A19" s="56"/>
      <c r="B19" s="56" t="s">
        <v>28</v>
      </c>
      <c r="C19" s="57">
        <v>13</v>
      </c>
      <c r="D19" s="61">
        <f t="shared" si="0"/>
        <v>0</v>
      </c>
      <c r="E19" s="55"/>
      <c r="F19" s="55"/>
      <c r="G19" s="55"/>
      <c r="H19" s="62"/>
      <c r="I19" s="55"/>
      <c r="J19" s="55"/>
    </row>
    <row r="20" spans="1:10" x14ac:dyDescent="0.2">
      <c r="A20" s="56"/>
      <c r="B20" s="56"/>
      <c r="C20" s="57">
        <v>14</v>
      </c>
      <c r="D20" s="61">
        <f t="shared" si="0"/>
        <v>0</v>
      </c>
      <c r="E20" s="55"/>
      <c r="F20" s="55"/>
      <c r="G20" s="55"/>
      <c r="H20" s="62"/>
      <c r="I20" s="55"/>
      <c r="J20" s="55"/>
    </row>
    <row r="21" spans="1:10" x14ac:dyDescent="0.2">
      <c r="A21" s="56"/>
      <c r="B21" s="56"/>
      <c r="C21" s="57">
        <v>18</v>
      </c>
      <c r="D21" s="61">
        <f t="shared" si="0"/>
        <v>0</v>
      </c>
      <c r="E21" s="55"/>
      <c r="F21" s="55"/>
      <c r="G21" s="55"/>
      <c r="H21" s="62"/>
      <c r="I21" s="55"/>
      <c r="J21" s="55"/>
    </row>
    <row r="22" spans="1:10" ht="13.5" customHeight="1" x14ac:dyDescent="0.2">
      <c r="A22" s="56"/>
      <c r="B22" s="60" t="s">
        <v>29</v>
      </c>
      <c r="C22" s="56"/>
      <c r="D22" s="63">
        <f t="shared" ref="D22:J22" si="1">SUM(D16:D21)</f>
        <v>0</v>
      </c>
      <c r="E22" s="64">
        <f t="shared" si="1"/>
        <v>0</v>
      </c>
      <c r="F22" s="64">
        <f t="shared" si="1"/>
        <v>0</v>
      </c>
      <c r="G22" s="64">
        <f t="shared" si="1"/>
        <v>0</v>
      </c>
      <c r="H22" s="64">
        <f t="shared" si="1"/>
        <v>0</v>
      </c>
      <c r="I22" s="64">
        <f t="shared" si="1"/>
        <v>0</v>
      </c>
      <c r="J22" s="64">
        <f t="shared" si="1"/>
        <v>0</v>
      </c>
    </row>
    <row r="23" spans="1:10" x14ac:dyDescent="0.2">
      <c r="A23" s="57" t="s">
        <v>30</v>
      </c>
      <c r="B23" s="56" t="s">
        <v>31</v>
      </c>
      <c r="C23" s="57">
        <v>20</v>
      </c>
      <c r="D23" s="61">
        <f>SUM(E23:J23)</f>
        <v>0</v>
      </c>
      <c r="E23" s="55"/>
      <c r="F23" s="55"/>
      <c r="G23" s="55"/>
      <c r="H23" s="62"/>
      <c r="I23" s="62"/>
      <c r="J23" s="62"/>
    </row>
    <row r="24" spans="1:10" x14ac:dyDescent="0.2">
      <c r="A24" s="56"/>
      <c r="B24" s="56" t="s">
        <v>32</v>
      </c>
      <c r="C24" s="57">
        <v>21</v>
      </c>
      <c r="D24" s="61">
        <f t="shared" ref="D24:D28" si="2">SUM(E24:J24)</f>
        <v>0</v>
      </c>
      <c r="E24" s="55"/>
      <c r="F24" s="55"/>
      <c r="G24" s="55"/>
      <c r="H24" s="62"/>
      <c r="I24" s="62"/>
      <c r="J24" s="62"/>
    </row>
    <row r="25" spans="1:10" x14ac:dyDescent="0.2">
      <c r="A25" s="56"/>
      <c r="B25" s="56"/>
      <c r="C25" s="57">
        <v>24</v>
      </c>
      <c r="D25" s="61">
        <f t="shared" si="2"/>
        <v>0</v>
      </c>
      <c r="E25" s="55"/>
      <c r="F25" s="55"/>
      <c r="G25" s="55"/>
      <c r="H25" s="62"/>
      <c r="I25" s="55"/>
      <c r="J25" s="55"/>
    </row>
    <row r="26" spans="1:10" x14ac:dyDescent="0.2">
      <c r="A26" s="56"/>
      <c r="B26" s="56"/>
      <c r="C26" s="57">
        <v>25</v>
      </c>
      <c r="D26" s="61">
        <f t="shared" si="2"/>
        <v>0</v>
      </c>
      <c r="E26" s="55"/>
      <c r="F26" s="55"/>
      <c r="G26" s="55"/>
      <c r="H26" s="62"/>
      <c r="I26" s="55"/>
      <c r="J26" s="55"/>
    </row>
    <row r="27" spans="1:10" x14ac:dyDescent="0.2">
      <c r="A27" s="56"/>
      <c r="B27" s="56"/>
      <c r="C27" s="57">
        <v>26</v>
      </c>
      <c r="D27" s="61">
        <f t="shared" si="2"/>
        <v>0</v>
      </c>
      <c r="E27" s="55"/>
      <c r="F27" s="55"/>
      <c r="G27" s="55"/>
      <c r="H27" s="62"/>
      <c r="I27" s="55"/>
      <c r="J27" s="55"/>
    </row>
    <row r="28" spans="1:10" x14ac:dyDescent="0.2">
      <c r="A28" s="56"/>
      <c r="B28" s="56"/>
      <c r="C28" s="57">
        <v>27</v>
      </c>
      <c r="D28" s="61">
        <f t="shared" si="2"/>
        <v>0</v>
      </c>
      <c r="E28" s="55"/>
      <c r="F28" s="55"/>
      <c r="G28" s="55"/>
      <c r="H28" s="62"/>
      <c r="I28" s="55"/>
      <c r="J28" s="55"/>
    </row>
    <row r="29" spans="1:10" x14ac:dyDescent="0.2">
      <c r="A29" s="56"/>
      <c r="B29" s="60" t="s">
        <v>29</v>
      </c>
      <c r="C29" s="56"/>
      <c r="D29" s="66">
        <f>SUM(D23:D28)</f>
        <v>0</v>
      </c>
      <c r="E29" s="67">
        <f t="shared" ref="E29:J29" si="3">SUM(E23:E28)</f>
        <v>0</v>
      </c>
      <c r="F29" s="67">
        <f t="shared" si="3"/>
        <v>0</v>
      </c>
      <c r="G29" s="67">
        <f t="shared" si="3"/>
        <v>0</v>
      </c>
      <c r="H29" s="67">
        <f t="shared" si="3"/>
        <v>0</v>
      </c>
      <c r="I29" s="67">
        <f t="shared" si="3"/>
        <v>0</v>
      </c>
      <c r="J29" s="67">
        <f t="shared" si="3"/>
        <v>0</v>
      </c>
    </row>
    <row r="30" spans="1:10" x14ac:dyDescent="0.2">
      <c r="A30" s="57" t="s">
        <v>33</v>
      </c>
      <c r="B30" s="56" t="s">
        <v>34</v>
      </c>
      <c r="C30" s="57" t="s">
        <v>35</v>
      </c>
      <c r="D30" s="61">
        <f>SUM(E30:J30)</f>
        <v>0</v>
      </c>
      <c r="E30" s="55"/>
      <c r="F30" s="55"/>
      <c r="G30" s="55"/>
      <c r="H30" s="55"/>
      <c r="I30" s="55"/>
      <c r="J30" s="55"/>
    </row>
    <row r="31" spans="1:10" x14ac:dyDescent="0.2">
      <c r="A31" s="56"/>
      <c r="B31" s="57" t="s">
        <v>36</v>
      </c>
      <c r="C31" s="57" t="s">
        <v>37</v>
      </c>
      <c r="D31" s="61">
        <f t="shared" ref="D31:D32" si="4">SUM(E31:J31)</f>
        <v>0</v>
      </c>
      <c r="E31" s="55"/>
      <c r="F31" s="55"/>
      <c r="G31" s="55"/>
      <c r="H31" s="55"/>
      <c r="I31" s="55"/>
      <c r="J31" s="55"/>
    </row>
    <row r="32" spans="1:10" x14ac:dyDescent="0.2">
      <c r="A32" s="56"/>
      <c r="B32" s="56" t="s">
        <v>38</v>
      </c>
      <c r="C32" s="57">
        <v>38</v>
      </c>
      <c r="D32" s="61">
        <f t="shared" si="4"/>
        <v>0</v>
      </c>
      <c r="E32" s="55"/>
      <c r="F32" s="55"/>
      <c r="G32" s="55"/>
      <c r="H32" s="55"/>
      <c r="I32" s="55"/>
      <c r="J32" s="55"/>
    </row>
    <row r="33" spans="1:10" x14ac:dyDescent="0.2">
      <c r="A33" s="56"/>
      <c r="B33" s="60" t="s">
        <v>29</v>
      </c>
      <c r="C33" s="56"/>
      <c r="D33" s="66">
        <f>SUM(D30:D32)</f>
        <v>0</v>
      </c>
      <c r="E33" s="67">
        <f t="shared" ref="E33:J33" si="5">SUM(E30:E32)</f>
        <v>0</v>
      </c>
      <c r="F33" s="67">
        <f t="shared" si="5"/>
        <v>0</v>
      </c>
      <c r="G33" s="67">
        <f t="shared" si="5"/>
        <v>0</v>
      </c>
      <c r="H33" s="67">
        <f t="shared" si="5"/>
        <v>0</v>
      </c>
      <c r="I33" s="67">
        <f t="shared" si="5"/>
        <v>0</v>
      </c>
      <c r="J33" s="67">
        <f t="shared" si="5"/>
        <v>0</v>
      </c>
    </row>
    <row r="34" spans="1:10" x14ac:dyDescent="0.2">
      <c r="A34" s="57" t="s">
        <v>39</v>
      </c>
      <c r="B34" s="56" t="s">
        <v>40</v>
      </c>
      <c r="C34" s="57">
        <v>40</v>
      </c>
      <c r="D34" s="61">
        <f>SUM(E34:J34)</f>
        <v>0</v>
      </c>
      <c r="E34" s="55"/>
      <c r="F34" s="55"/>
      <c r="G34" s="55"/>
      <c r="H34" s="62"/>
      <c r="I34" s="55"/>
      <c r="J34" s="55"/>
    </row>
    <row r="35" spans="1:10" x14ac:dyDescent="0.2">
      <c r="A35" s="56"/>
      <c r="B35" s="56" t="s">
        <v>41</v>
      </c>
      <c r="C35" s="57">
        <v>41</v>
      </c>
      <c r="D35" s="61">
        <f t="shared" ref="D35:D40" si="6">SUM(E35:J35)</f>
        <v>0</v>
      </c>
      <c r="E35" s="55"/>
      <c r="F35" s="55"/>
      <c r="G35" s="55"/>
      <c r="H35" s="62"/>
      <c r="I35" s="55"/>
      <c r="J35" s="55"/>
    </row>
    <row r="36" spans="1:10" x14ac:dyDescent="0.2">
      <c r="A36" s="56"/>
      <c r="B36" s="56"/>
      <c r="C36" s="57">
        <v>43</v>
      </c>
      <c r="D36" s="61">
        <f t="shared" si="6"/>
        <v>0</v>
      </c>
      <c r="E36" s="55"/>
      <c r="F36" s="55"/>
      <c r="G36" s="55"/>
      <c r="H36" s="62"/>
      <c r="I36" s="55"/>
      <c r="J36" s="55"/>
    </row>
    <row r="37" spans="1:10" x14ac:dyDescent="0.2">
      <c r="A37" s="56"/>
      <c r="B37" s="56"/>
      <c r="C37" s="57">
        <v>44</v>
      </c>
      <c r="D37" s="61">
        <f t="shared" si="6"/>
        <v>0</v>
      </c>
      <c r="E37" s="55"/>
      <c r="F37" s="55"/>
      <c r="G37" s="55"/>
      <c r="H37" s="62"/>
      <c r="I37" s="55"/>
      <c r="J37" s="55"/>
    </row>
    <row r="38" spans="1:10" x14ac:dyDescent="0.2">
      <c r="A38" s="56"/>
      <c r="B38" s="56"/>
      <c r="C38" s="57">
        <v>46</v>
      </c>
      <c r="D38" s="61">
        <f t="shared" si="6"/>
        <v>0</v>
      </c>
      <c r="E38" s="55"/>
      <c r="F38" s="55"/>
      <c r="G38" s="55"/>
      <c r="H38" s="62"/>
      <c r="I38" s="55"/>
      <c r="J38" s="55"/>
    </row>
    <row r="39" spans="1:10" x14ac:dyDescent="0.2">
      <c r="A39" s="56"/>
      <c r="B39" s="56"/>
      <c r="C39" s="57">
        <v>47</v>
      </c>
      <c r="D39" s="61">
        <f t="shared" si="6"/>
        <v>0</v>
      </c>
      <c r="E39" s="55"/>
      <c r="F39" s="55"/>
      <c r="G39" s="55"/>
      <c r="H39" s="62"/>
      <c r="I39" s="55"/>
      <c r="J39" s="55"/>
    </row>
    <row r="40" spans="1:10" x14ac:dyDescent="0.2">
      <c r="A40" s="56"/>
      <c r="B40" s="56"/>
      <c r="C40" s="57">
        <v>49</v>
      </c>
      <c r="D40" s="61">
        <f t="shared" si="6"/>
        <v>0</v>
      </c>
      <c r="E40" s="55"/>
      <c r="F40" s="55"/>
      <c r="G40" s="55"/>
      <c r="H40" s="62"/>
      <c r="I40" s="55"/>
      <c r="J40" s="55"/>
    </row>
    <row r="41" spans="1:10" x14ac:dyDescent="0.2">
      <c r="A41" s="56"/>
      <c r="B41" s="60" t="s">
        <v>29</v>
      </c>
      <c r="C41" s="56"/>
      <c r="D41" s="66">
        <f>SUM(D34:D40)</f>
        <v>0</v>
      </c>
      <c r="E41" s="67">
        <f t="shared" ref="E41:J41" si="7">SUM(E34:E40)</f>
        <v>0</v>
      </c>
      <c r="F41" s="67">
        <f t="shared" si="7"/>
        <v>0</v>
      </c>
      <c r="G41" s="67">
        <f t="shared" si="7"/>
        <v>0</v>
      </c>
      <c r="H41" s="67">
        <f t="shared" si="7"/>
        <v>0</v>
      </c>
      <c r="I41" s="67">
        <f t="shared" si="7"/>
        <v>0</v>
      </c>
      <c r="J41" s="67">
        <f t="shared" si="7"/>
        <v>0</v>
      </c>
    </row>
    <row r="42" spans="1:10" x14ac:dyDescent="0.2">
      <c r="A42" s="57" t="s">
        <v>42</v>
      </c>
      <c r="B42" s="56" t="s">
        <v>43</v>
      </c>
      <c r="C42" s="57">
        <v>50</v>
      </c>
      <c r="D42" s="61">
        <f>SUM(E42:J42)</f>
        <v>0</v>
      </c>
      <c r="E42" s="55"/>
      <c r="F42" s="55"/>
      <c r="G42" s="55"/>
      <c r="H42" s="55"/>
      <c r="I42" s="55"/>
      <c r="J42" s="55"/>
    </row>
    <row r="43" spans="1:10" x14ac:dyDescent="0.2">
      <c r="A43" s="56"/>
      <c r="B43" s="56" t="s">
        <v>44</v>
      </c>
      <c r="C43" s="57">
        <v>52</v>
      </c>
      <c r="D43" s="61">
        <f t="shared" ref="D43:D46" si="8">SUM(E43:J43)</f>
        <v>0</v>
      </c>
      <c r="E43" s="55"/>
      <c r="F43" s="55"/>
      <c r="G43" s="55"/>
      <c r="H43" s="55"/>
      <c r="I43" s="55"/>
      <c r="J43" s="55"/>
    </row>
    <row r="44" spans="1:10" x14ac:dyDescent="0.2">
      <c r="A44" s="56"/>
      <c r="B44" s="60"/>
      <c r="C44" s="57">
        <v>53</v>
      </c>
      <c r="D44" s="61">
        <f t="shared" si="8"/>
        <v>0</v>
      </c>
      <c r="E44" s="55"/>
      <c r="F44" s="55"/>
      <c r="G44" s="55"/>
      <c r="H44" s="55"/>
      <c r="I44" s="55"/>
      <c r="J44" s="55"/>
    </row>
    <row r="45" spans="1:10" x14ac:dyDescent="0.2">
      <c r="A45" s="56"/>
      <c r="B45" s="56"/>
      <c r="C45" s="57">
        <v>55</v>
      </c>
      <c r="D45" s="61">
        <f t="shared" si="8"/>
        <v>0</v>
      </c>
      <c r="E45" s="55"/>
      <c r="F45" s="55"/>
      <c r="G45" s="55"/>
      <c r="H45" s="55"/>
      <c r="I45" s="55"/>
      <c r="J45" s="55"/>
    </row>
    <row r="46" spans="1:10" x14ac:dyDescent="0.2">
      <c r="A46" s="56"/>
      <c r="B46" s="56"/>
      <c r="C46" s="57">
        <v>56</v>
      </c>
      <c r="D46" s="61">
        <f t="shared" si="8"/>
        <v>0</v>
      </c>
      <c r="E46" s="55"/>
      <c r="F46" s="55"/>
      <c r="G46" s="55"/>
      <c r="H46" s="55"/>
      <c r="I46" s="55"/>
      <c r="J46" s="55"/>
    </row>
    <row r="47" spans="1:10" x14ac:dyDescent="0.2">
      <c r="A47" s="56"/>
      <c r="B47" s="56"/>
      <c r="C47" s="57">
        <v>59</v>
      </c>
      <c r="D47" s="61">
        <f>SUM(E47:J47)</f>
        <v>0</v>
      </c>
      <c r="E47" s="55"/>
      <c r="F47" s="55"/>
      <c r="G47" s="55"/>
      <c r="H47" s="55"/>
      <c r="I47" s="55"/>
      <c r="J47" s="55"/>
    </row>
    <row r="48" spans="1:10" x14ac:dyDescent="0.2">
      <c r="A48" s="56"/>
      <c r="B48" s="60" t="s">
        <v>29</v>
      </c>
      <c r="C48" s="56"/>
      <c r="D48" s="66">
        <f>SUM(D42:D47)</f>
        <v>0</v>
      </c>
      <c r="E48" s="67">
        <f t="shared" ref="E48:J48" si="9">SUM(E42:E47)</f>
        <v>0</v>
      </c>
      <c r="F48" s="67">
        <f t="shared" si="9"/>
        <v>0</v>
      </c>
      <c r="G48" s="67">
        <f t="shared" si="9"/>
        <v>0</v>
      </c>
      <c r="H48" s="67">
        <f t="shared" si="9"/>
        <v>0</v>
      </c>
      <c r="I48" s="67">
        <f t="shared" si="9"/>
        <v>0</v>
      </c>
      <c r="J48" s="67">
        <f t="shared" si="9"/>
        <v>0</v>
      </c>
    </row>
    <row r="49" spans="1:10" x14ac:dyDescent="0.2">
      <c r="A49" s="57" t="s">
        <v>45</v>
      </c>
      <c r="B49" s="56" t="s">
        <v>43</v>
      </c>
      <c r="C49" s="57">
        <v>60</v>
      </c>
      <c r="D49" s="61">
        <f>SUM(E49:J49)</f>
        <v>0</v>
      </c>
      <c r="E49" s="55"/>
      <c r="F49" s="55"/>
      <c r="G49" s="55"/>
      <c r="H49" s="55"/>
      <c r="I49" s="55"/>
      <c r="J49" s="55"/>
    </row>
    <row r="50" spans="1:10" x14ac:dyDescent="0.2">
      <c r="A50" s="56"/>
      <c r="B50" s="56" t="s">
        <v>46</v>
      </c>
      <c r="C50" s="57">
        <v>62</v>
      </c>
      <c r="D50" s="61">
        <f t="shared" ref="D50:D52" si="10">SUM(E50:J50)</f>
        <v>0</v>
      </c>
      <c r="E50" s="55"/>
      <c r="F50" s="55"/>
      <c r="G50" s="55"/>
      <c r="H50" s="55"/>
      <c r="I50" s="55"/>
      <c r="J50" s="55"/>
    </row>
    <row r="51" spans="1:10" x14ac:dyDescent="0.2">
      <c r="A51" s="56"/>
      <c r="B51" s="56"/>
      <c r="C51" s="57">
        <v>65</v>
      </c>
      <c r="D51" s="61">
        <f t="shared" si="10"/>
        <v>0</v>
      </c>
      <c r="E51" s="55"/>
      <c r="F51" s="55"/>
      <c r="G51" s="55"/>
      <c r="H51" s="55"/>
      <c r="I51" s="55"/>
      <c r="J51" s="55"/>
    </row>
    <row r="52" spans="1:10" x14ac:dyDescent="0.2">
      <c r="A52" s="56"/>
      <c r="B52" s="56"/>
      <c r="C52" s="57">
        <v>66</v>
      </c>
      <c r="D52" s="61">
        <f t="shared" si="10"/>
        <v>0</v>
      </c>
      <c r="E52" s="55"/>
      <c r="F52" s="55"/>
      <c r="G52" s="55"/>
      <c r="H52" s="55"/>
      <c r="I52" s="55"/>
      <c r="J52" s="55"/>
    </row>
    <row r="53" spans="1:10" x14ac:dyDescent="0.2">
      <c r="A53" s="56"/>
      <c r="B53" s="56"/>
      <c r="C53" s="57">
        <v>69</v>
      </c>
      <c r="D53" s="61">
        <f>SUM(E53:J53)</f>
        <v>0</v>
      </c>
      <c r="E53" s="55"/>
      <c r="F53" s="55"/>
      <c r="G53" s="55"/>
      <c r="H53" s="55"/>
      <c r="I53" s="55"/>
      <c r="J53" s="55"/>
    </row>
    <row r="54" spans="1:10" x14ac:dyDescent="0.2">
      <c r="A54" s="56"/>
      <c r="B54" s="60" t="s">
        <v>29</v>
      </c>
      <c r="C54" s="56"/>
      <c r="D54" s="66">
        <f>SUM(D49:D53)</f>
        <v>0</v>
      </c>
      <c r="E54" s="67">
        <f t="shared" ref="E54:J54" si="11">SUM(E49:E53)</f>
        <v>0</v>
      </c>
      <c r="F54" s="67">
        <f t="shared" si="11"/>
        <v>0</v>
      </c>
      <c r="G54" s="67">
        <f t="shared" si="11"/>
        <v>0</v>
      </c>
      <c r="H54" s="67">
        <f t="shared" si="11"/>
        <v>0</v>
      </c>
      <c r="I54" s="67">
        <f t="shared" si="11"/>
        <v>0</v>
      </c>
      <c r="J54" s="67">
        <f t="shared" si="11"/>
        <v>0</v>
      </c>
    </row>
    <row r="55" spans="1:10" x14ac:dyDescent="0.2">
      <c r="A55" s="84" t="s">
        <v>47</v>
      </c>
      <c r="B55" s="56" t="s">
        <v>48</v>
      </c>
      <c r="C55" s="57">
        <v>70</v>
      </c>
      <c r="D55" s="61">
        <f>SUM(E55:J55)</f>
        <v>0</v>
      </c>
      <c r="E55" s="55"/>
      <c r="F55" s="55"/>
      <c r="G55" s="55"/>
      <c r="H55" s="55"/>
      <c r="I55" s="55"/>
      <c r="J55" s="55"/>
    </row>
    <row r="56" spans="1:10" x14ac:dyDescent="0.2">
      <c r="A56" s="84"/>
      <c r="B56" s="56" t="s">
        <v>49</v>
      </c>
      <c r="C56" s="57">
        <v>74</v>
      </c>
      <c r="D56" s="61">
        <f>SUM(E56:J56)</f>
        <v>0</v>
      </c>
      <c r="E56" s="55"/>
      <c r="F56" s="55"/>
      <c r="G56" s="55"/>
      <c r="H56" s="55"/>
      <c r="I56" s="55"/>
      <c r="J56" s="55"/>
    </row>
    <row r="57" spans="1:10" x14ac:dyDescent="0.2">
      <c r="A57" s="56"/>
      <c r="B57" s="56"/>
      <c r="C57" s="57">
        <v>79</v>
      </c>
      <c r="D57" s="61">
        <f>SUM(E57:J57)</f>
        <v>0</v>
      </c>
      <c r="E57" s="55"/>
      <c r="F57" s="55"/>
      <c r="G57" s="55"/>
      <c r="H57" s="55"/>
      <c r="I57" s="55"/>
      <c r="J57" s="55"/>
    </row>
    <row r="58" spans="1:10" x14ac:dyDescent="0.2">
      <c r="A58" s="56"/>
      <c r="B58" s="60" t="s">
        <v>29</v>
      </c>
      <c r="C58" s="56"/>
      <c r="D58" s="66">
        <f>SUM(D55:D57)</f>
        <v>0</v>
      </c>
      <c r="E58" s="67">
        <f t="shared" ref="E58:J58" si="12">SUM(E55:E57)</f>
        <v>0</v>
      </c>
      <c r="F58" s="67">
        <f t="shared" si="12"/>
        <v>0</v>
      </c>
      <c r="G58" s="67">
        <f t="shared" si="12"/>
        <v>0</v>
      </c>
      <c r="H58" s="67">
        <f t="shared" si="12"/>
        <v>0</v>
      </c>
      <c r="I58" s="67">
        <f t="shared" si="12"/>
        <v>0</v>
      </c>
      <c r="J58" s="67">
        <f t="shared" si="12"/>
        <v>0</v>
      </c>
    </row>
    <row r="59" spans="1:10" x14ac:dyDescent="0.2">
      <c r="A59" s="57" t="s">
        <v>50</v>
      </c>
      <c r="B59" s="56" t="s">
        <v>51</v>
      </c>
      <c r="C59" s="57">
        <v>85</v>
      </c>
      <c r="D59" s="61">
        <f>SUM(E59:J59)</f>
        <v>0</v>
      </c>
      <c r="E59" s="55"/>
      <c r="F59" s="55"/>
      <c r="G59" s="55"/>
      <c r="H59" s="55"/>
      <c r="I59" s="55"/>
      <c r="J59" s="55"/>
    </row>
    <row r="60" spans="1:10" x14ac:dyDescent="0.2">
      <c r="A60" s="56"/>
      <c r="B60" s="56" t="s">
        <v>52</v>
      </c>
      <c r="C60" s="57">
        <v>86</v>
      </c>
      <c r="D60" s="61">
        <f>SUM(E60:J60)</f>
        <v>0</v>
      </c>
      <c r="E60" s="55"/>
      <c r="F60" s="55"/>
      <c r="G60" s="55"/>
      <c r="H60" s="55"/>
      <c r="I60" s="55"/>
      <c r="J60" s="55"/>
    </row>
    <row r="61" spans="1:10" x14ac:dyDescent="0.2">
      <c r="A61" s="56"/>
      <c r="B61" s="60" t="s">
        <v>29</v>
      </c>
      <c r="C61" s="56"/>
      <c r="D61" s="66">
        <f>D59+D60</f>
        <v>0</v>
      </c>
      <c r="E61" s="67">
        <f t="shared" ref="E61:J61" si="13">E59+E60</f>
        <v>0</v>
      </c>
      <c r="F61" s="67">
        <f t="shared" si="13"/>
        <v>0</v>
      </c>
      <c r="G61" s="67">
        <f t="shared" si="13"/>
        <v>0</v>
      </c>
      <c r="H61" s="67">
        <f t="shared" si="13"/>
        <v>0</v>
      </c>
      <c r="I61" s="67">
        <f t="shared" si="13"/>
        <v>0</v>
      </c>
      <c r="J61" s="67">
        <f t="shared" si="13"/>
        <v>0</v>
      </c>
    </row>
    <row r="62" spans="1:10" x14ac:dyDescent="0.2">
      <c r="A62" s="57" t="s">
        <v>53</v>
      </c>
      <c r="B62" s="56" t="s">
        <v>54</v>
      </c>
      <c r="C62" s="57"/>
      <c r="D62" s="61">
        <f>SUM(E62:J62)</f>
        <v>0</v>
      </c>
      <c r="E62" s="55"/>
      <c r="F62" s="55"/>
      <c r="G62" s="55"/>
      <c r="H62" s="55"/>
      <c r="I62" s="55"/>
      <c r="J62" s="55"/>
    </row>
    <row r="63" spans="1:10" x14ac:dyDescent="0.2">
      <c r="A63" s="56"/>
      <c r="B63" s="56" t="s">
        <v>55</v>
      </c>
      <c r="C63" s="57">
        <v>99</v>
      </c>
      <c r="D63" s="61">
        <f>SUM(E63:J63)</f>
        <v>0</v>
      </c>
      <c r="E63" s="55"/>
      <c r="F63" s="55"/>
      <c r="G63" s="55"/>
      <c r="H63" s="55"/>
      <c r="I63" s="55"/>
      <c r="J63" s="55"/>
    </row>
    <row r="64" spans="1:10" x14ac:dyDescent="0.2">
      <c r="A64" s="56"/>
      <c r="B64" s="60" t="s">
        <v>29</v>
      </c>
      <c r="C64" s="56"/>
      <c r="D64" s="66">
        <f>D62+D63</f>
        <v>0</v>
      </c>
      <c r="E64" s="67">
        <f t="shared" ref="E64:J64" si="14">E62+E63</f>
        <v>0</v>
      </c>
      <c r="F64" s="67">
        <f t="shared" si="14"/>
        <v>0</v>
      </c>
      <c r="G64" s="67">
        <f t="shared" si="14"/>
        <v>0</v>
      </c>
      <c r="H64" s="67">
        <f t="shared" si="14"/>
        <v>0</v>
      </c>
      <c r="I64" s="67">
        <f t="shared" si="14"/>
        <v>0</v>
      </c>
      <c r="J64" s="67">
        <f t="shared" si="14"/>
        <v>0</v>
      </c>
    </row>
    <row r="65" spans="1:10" ht="18" customHeight="1" x14ac:dyDescent="0.25">
      <c r="A65" s="68"/>
      <c r="B65" s="69" t="s">
        <v>56</v>
      </c>
      <c r="C65" s="68"/>
      <c r="D65" s="70">
        <f>D22+D29+D33+D41+D48+D54+D58+D61+D64</f>
        <v>0</v>
      </c>
      <c r="E65" s="70">
        <f t="shared" ref="E65:J65" si="15">E22+E29+E33+E41+E48+E54+E58+E61+E64</f>
        <v>0</v>
      </c>
      <c r="F65" s="70">
        <f t="shared" si="15"/>
        <v>0</v>
      </c>
      <c r="G65" s="70">
        <f t="shared" si="15"/>
        <v>0</v>
      </c>
      <c r="H65" s="70">
        <f t="shared" si="15"/>
        <v>0</v>
      </c>
      <c r="I65" s="70">
        <f t="shared" si="15"/>
        <v>0</v>
      </c>
      <c r="J65" s="70">
        <f t="shared" si="15"/>
        <v>0</v>
      </c>
    </row>
    <row r="68" spans="1:10" x14ac:dyDescent="0.2">
      <c r="C68" s="43" t="s">
        <v>80</v>
      </c>
      <c r="H68" s="49" t="s">
        <v>78</v>
      </c>
    </row>
    <row r="69" spans="1:10" x14ac:dyDescent="0.2">
      <c r="B69" s="43" t="s">
        <v>108</v>
      </c>
    </row>
    <row r="70" spans="1:10" x14ac:dyDescent="0.2">
      <c r="C70" s="43" t="s">
        <v>109</v>
      </c>
    </row>
    <row r="71" spans="1:10" x14ac:dyDescent="0.2">
      <c r="C71" s="43" t="s">
        <v>60</v>
      </c>
    </row>
    <row r="73" spans="1:10" s="54" customFormat="1" ht="15.75" x14ac:dyDescent="0.25">
      <c r="B73" s="54" t="s">
        <v>106</v>
      </c>
    </row>
    <row r="74" spans="1:10" s="48" customFormat="1" ht="15.75" x14ac:dyDescent="0.25">
      <c r="A74" s="47"/>
      <c r="B74" s="53" t="s">
        <v>107</v>
      </c>
      <c r="C74" s="47"/>
      <c r="H74" s="81" t="s">
        <v>79</v>
      </c>
      <c r="I74" s="81"/>
      <c r="J74" s="81"/>
    </row>
    <row r="77" spans="1:10" x14ac:dyDescent="0.2">
      <c r="A77" s="82"/>
      <c r="B77" s="82"/>
    </row>
    <row r="78" spans="1:10" x14ac:dyDescent="0.2">
      <c r="B78" s="46"/>
    </row>
  </sheetData>
  <mergeCells count="10">
    <mergeCell ref="A6:J6"/>
    <mergeCell ref="A8:J8"/>
    <mergeCell ref="A7:J7"/>
    <mergeCell ref="H74:J74"/>
    <mergeCell ref="A77:B77"/>
    <mergeCell ref="E13:F13"/>
    <mergeCell ref="G13:H13"/>
    <mergeCell ref="A55:A56"/>
    <mergeCell ref="D11:J11"/>
    <mergeCell ref="E12:J12"/>
  </mergeCells>
  <printOptions horizontalCentered="1" verticalCentered="1"/>
  <pageMargins left="0.51181102362204722" right="0.51181102362204722" top="0.35433070866141736" bottom="0.35433070866141736" header="0.31496062992125984" footer="0.31496062992125984"/>
  <pageSetup paperSize="9" scale="72" orientation="portrait" r:id="rId1"/>
  <rowBreaks count="1" manualBreakCount="1">
    <brk id="75" max="9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20"/>
  <sheetViews>
    <sheetView workbookViewId="0">
      <selection activeCell="B24" sqref="B24"/>
    </sheetView>
  </sheetViews>
  <sheetFormatPr defaultRowHeight="12.75" x14ac:dyDescent="0.2"/>
  <cols>
    <col min="2" max="2" width="70.28515625" bestFit="1" customWidth="1"/>
    <col min="3" max="3" width="20" style="50" bestFit="1" customWidth="1"/>
    <col min="4" max="4" width="27.42578125" style="50" customWidth="1"/>
    <col min="5" max="5" width="32" style="50" bestFit="1" customWidth="1"/>
    <col min="6" max="6" width="30" style="50" bestFit="1" customWidth="1"/>
  </cols>
  <sheetData>
    <row r="2" spans="1:6" x14ac:dyDescent="0.2">
      <c r="C2" s="50" t="s">
        <v>82</v>
      </c>
    </row>
    <row r="3" spans="1:6" x14ac:dyDescent="0.2">
      <c r="B3" t="s">
        <v>83</v>
      </c>
    </row>
    <row r="4" spans="1:6" x14ac:dyDescent="0.2">
      <c r="B4" t="s">
        <v>84</v>
      </c>
    </row>
    <row r="5" spans="1:6" x14ac:dyDescent="0.2">
      <c r="B5" t="s">
        <v>89</v>
      </c>
    </row>
    <row r="6" spans="1:6" x14ac:dyDescent="0.2">
      <c r="B6" t="s">
        <v>85</v>
      </c>
      <c r="C6" s="50" t="s">
        <v>81</v>
      </c>
    </row>
    <row r="7" spans="1:6" x14ac:dyDescent="0.2">
      <c r="B7" t="s">
        <v>86</v>
      </c>
    </row>
    <row r="8" spans="1:6" ht="22.5" x14ac:dyDescent="0.2">
      <c r="B8" t="s">
        <v>87</v>
      </c>
      <c r="C8" s="52" t="s">
        <v>92</v>
      </c>
      <c r="D8" s="52" t="s">
        <v>97</v>
      </c>
      <c r="E8" s="52" t="s">
        <v>94</v>
      </c>
      <c r="F8" s="52" t="s">
        <v>95</v>
      </c>
    </row>
    <row r="9" spans="1:6" x14ac:dyDescent="0.2">
      <c r="B9" t="s">
        <v>88</v>
      </c>
      <c r="C9" s="51" t="s">
        <v>90</v>
      </c>
      <c r="D9" s="51" t="s">
        <v>91</v>
      </c>
      <c r="E9" s="51" t="s">
        <v>93</v>
      </c>
      <c r="F9" s="51" t="s">
        <v>96</v>
      </c>
    </row>
    <row r="14" spans="1:6" x14ac:dyDescent="0.2">
      <c r="A14" t="s">
        <v>104</v>
      </c>
      <c r="B14" t="s">
        <v>105</v>
      </c>
    </row>
    <row r="15" spans="1:6" x14ac:dyDescent="0.2">
      <c r="A15">
        <v>3377</v>
      </c>
      <c r="B15" t="s">
        <v>98</v>
      </c>
    </row>
    <row r="16" spans="1:6" x14ac:dyDescent="0.2">
      <c r="A16">
        <v>3378</v>
      </c>
      <c r="B16" t="s">
        <v>99</v>
      </c>
    </row>
    <row r="17" spans="1:2" x14ac:dyDescent="0.2">
      <c r="A17">
        <v>3379</v>
      </c>
      <c r="B17" t="s">
        <v>100</v>
      </c>
    </row>
    <row r="18" spans="1:2" x14ac:dyDescent="0.2">
      <c r="A18">
        <v>3380</v>
      </c>
      <c r="B18" t="s">
        <v>101</v>
      </c>
    </row>
    <row r="19" spans="1:2" x14ac:dyDescent="0.2">
      <c r="A19">
        <v>3381</v>
      </c>
      <c r="B19" t="s">
        <v>102</v>
      </c>
    </row>
    <row r="20" spans="1:2" x14ac:dyDescent="0.2">
      <c r="A20">
        <v>3382</v>
      </c>
      <c r="B20" t="s">
        <v>103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89"/>
  <sheetViews>
    <sheetView view="pageBreakPreview" zoomScale="80" zoomScaleSheetLayoutView="80" workbookViewId="0">
      <selection activeCell="J62" sqref="J62"/>
    </sheetView>
  </sheetViews>
  <sheetFormatPr defaultRowHeight="12.75" x14ac:dyDescent="0.2"/>
  <cols>
    <col min="1" max="1" width="4.85546875" customWidth="1"/>
    <col min="2" max="2" width="28.7109375" customWidth="1"/>
    <col min="3" max="3" width="11.140625" customWidth="1"/>
    <col min="4" max="4" width="9.5703125" customWidth="1"/>
    <col min="5" max="5" width="10.7109375" customWidth="1"/>
    <col min="6" max="6" width="10.42578125" customWidth="1"/>
    <col min="7" max="7" width="10.28515625" customWidth="1"/>
    <col min="8" max="8" width="10.42578125" customWidth="1"/>
    <col min="9" max="9" width="11.140625" customWidth="1"/>
    <col min="10" max="10" width="13.85546875" bestFit="1" customWidth="1"/>
  </cols>
  <sheetData>
    <row r="1" spans="1:16" x14ac:dyDescent="0.2">
      <c r="J1" s="1"/>
    </row>
    <row r="2" spans="1:16" x14ac:dyDescent="0.2">
      <c r="J2" s="1"/>
    </row>
    <row r="3" spans="1:16" x14ac:dyDescent="0.2">
      <c r="H3" t="s">
        <v>0</v>
      </c>
    </row>
    <row r="4" spans="1:16" x14ac:dyDescent="0.2">
      <c r="I4" t="s">
        <v>1</v>
      </c>
    </row>
    <row r="6" spans="1:16" x14ac:dyDescent="0.2">
      <c r="H6" t="s">
        <v>2</v>
      </c>
      <c r="J6" s="1"/>
    </row>
    <row r="7" spans="1:16" x14ac:dyDescent="0.2">
      <c r="J7" s="1"/>
    </row>
    <row r="8" spans="1:16" x14ac:dyDescent="0.2">
      <c r="C8" t="s">
        <v>3</v>
      </c>
      <c r="J8" s="1"/>
    </row>
    <row r="10" spans="1:16" x14ac:dyDescent="0.2">
      <c r="D10" s="1" t="s">
        <v>4</v>
      </c>
      <c r="E10" s="1"/>
      <c r="F10" s="1"/>
      <c r="G10" s="1"/>
    </row>
    <row r="11" spans="1:16" x14ac:dyDescent="0.2">
      <c r="B11" s="1" t="s">
        <v>5</v>
      </c>
      <c r="C11" s="2"/>
      <c r="D11" s="2"/>
      <c r="E11" s="2"/>
      <c r="F11" s="2"/>
      <c r="G11" s="3"/>
      <c r="H11" s="3"/>
      <c r="I11" s="3"/>
      <c r="J11" s="4"/>
    </row>
    <row r="12" spans="1:16" ht="18" x14ac:dyDescent="0.25">
      <c r="B12" s="1" t="s">
        <v>67</v>
      </c>
      <c r="C12" s="1"/>
      <c r="D12" s="3"/>
      <c r="E12" s="3"/>
      <c r="G12" s="3"/>
      <c r="H12" s="3"/>
      <c r="I12" s="3"/>
      <c r="J12" s="4"/>
      <c r="P12" s="38"/>
    </row>
    <row r="13" spans="1:16" x14ac:dyDescent="0.2">
      <c r="C13" s="1"/>
      <c r="D13" s="1"/>
      <c r="E13" s="1"/>
      <c r="F13" s="1"/>
      <c r="G13" s="1"/>
      <c r="H13" s="2"/>
      <c r="I13" s="1"/>
      <c r="J13" s="4"/>
    </row>
    <row r="14" spans="1:16" ht="13.5" thickBot="1" x14ac:dyDescent="0.25">
      <c r="I14" t="s">
        <v>6</v>
      </c>
    </row>
    <row r="15" spans="1:16" ht="13.5" thickBot="1" x14ac:dyDescent="0.25">
      <c r="A15" s="5"/>
      <c r="B15" s="5"/>
      <c r="C15" s="6"/>
      <c r="D15" s="7" t="s">
        <v>7</v>
      </c>
      <c r="E15" s="8"/>
      <c r="F15" s="8"/>
      <c r="G15" s="8"/>
      <c r="H15" s="8"/>
      <c r="I15" s="8"/>
      <c r="J15" s="9"/>
    </row>
    <row r="16" spans="1:16" ht="13.5" thickBot="1" x14ac:dyDescent="0.25">
      <c r="A16" s="10" t="s">
        <v>8</v>
      </c>
      <c r="B16" s="10" t="s">
        <v>9</v>
      </c>
      <c r="C16" s="11" t="s">
        <v>10</v>
      </c>
      <c r="D16" s="10"/>
      <c r="E16" s="7" t="s">
        <v>11</v>
      </c>
      <c r="F16" s="8"/>
      <c r="G16" s="8"/>
      <c r="H16" s="8"/>
      <c r="I16" s="8"/>
      <c r="J16" s="9"/>
    </row>
    <row r="17" spans="1:10" ht="13.5" thickBot="1" x14ac:dyDescent="0.25">
      <c r="A17" s="10" t="s">
        <v>12</v>
      </c>
      <c r="B17" s="10" t="s">
        <v>13</v>
      </c>
      <c r="C17" s="11" t="s">
        <v>14</v>
      </c>
      <c r="D17" s="12" t="s">
        <v>15</v>
      </c>
      <c r="E17" s="74" t="s">
        <v>16</v>
      </c>
      <c r="F17" s="75"/>
      <c r="G17" s="74" t="s">
        <v>17</v>
      </c>
      <c r="H17" s="75"/>
      <c r="I17" s="13" t="s">
        <v>18</v>
      </c>
      <c r="J17" s="14" t="s">
        <v>19</v>
      </c>
    </row>
    <row r="18" spans="1:10" ht="13.5" thickBot="1" x14ac:dyDescent="0.25">
      <c r="A18" s="15"/>
      <c r="B18" s="15"/>
      <c r="C18" s="16"/>
      <c r="D18" s="15"/>
      <c r="E18" s="17" t="s">
        <v>20</v>
      </c>
      <c r="F18" s="17" t="s">
        <v>21</v>
      </c>
      <c r="G18" s="17" t="s">
        <v>20</v>
      </c>
      <c r="H18" s="17" t="s">
        <v>21</v>
      </c>
      <c r="I18" s="15"/>
      <c r="J18" s="18" t="s">
        <v>22</v>
      </c>
    </row>
    <row r="19" spans="1:10" ht="13.5" thickBot="1" x14ac:dyDescent="0.25">
      <c r="A19" s="19"/>
      <c r="B19" s="20" t="s">
        <v>23</v>
      </c>
      <c r="C19" s="20" t="s">
        <v>24</v>
      </c>
      <c r="D19" s="20">
        <v>1</v>
      </c>
      <c r="E19" s="20">
        <v>2</v>
      </c>
      <c r="F19" s="20">
        <v>3</v>
      </c>
      <c r="G19" s="20">
        <v>4</v>
      </c>
      <c r="H19" s="20">
        <v>5</v>
      </c>
      <c r="I19" s="20">
        <v>6</v>
      </c>
      <c r="J19" s="20">
        <v>7</v>
      </c>
    </row>
    <row r="20" spans="1:10" ht="13.5" thickBot="1" x14ac:dyDescent="0.25">
      <c r="A20" s="6" t="s">
        <v>25</v>
      </c>
      <c r="B20" s="5" t="s">
        <v>26</v>
      </c>
      <c r="C20" s="17">
        <v>10</v>
      </c>
      <c r="D20" s="19">
        <f>ПЧ!D16-'ПЧ-38 16г '!D20</f>
        <v>-28</v>
      </c>
      <c r="E20" s="19">
        <f>ПЧ!E16-'ПЧ-38 16г '!E20</f>
        <v>0</v>
      </c>
      <c r="F20" s="19">
        <f>ПЧ!F16-'ПЧ-38 16г '!F20</f>
        <v>0</v>
      </c>
      <c r="G20" s="19">
        <f>ПЧ!G16-'ПЧ-38 16г '!G20</f>
        <v>-12</v>
      </c>
      <c r="H20" s="19">
        <f>ПЧ!H16-'ПЧ-38 16г '!H20</f>
        <v>0</v>
      </c>
      <c r="I20" s="19">
        <f>ПЧ!I16-'ПЧ-38 16г '!I20</f>
        <v>-16</v>
      </c>
      <c r="J20" s="19">
        <f>ПЧ!J16-'ПЧ-38 16г '!J20</f>
        <v>0</v>
      </c>
    </row>
    <row r="21" spans="1:10" ht="13.5" thickBot="1" x14ac:dyDescent="0.25">
      <c r="A21" s="10"/>
      <c r="B21" s="10" t="s">
        <v>27</v>
      </c>
      <c r="C21" s="17">
        <v>11</v>
      </c>
      <c r="D21" s="19">
        <f>ПЧ!D17-'ПЧ-38 16г '!D21</f>
        <v>-7</v>
      </c>
      <c r="E21" s="19">
        <f>ПЧ!E17-'ПЧ-38 16г '!E21</f>
        <v>0</v>
      </c>
      <c r="F21" s="19">
        <f>ПЧ!F17-'ПЧ-38 16г '!F21</f>
        <v>0</v>
      </c>
      <c r="G21" s="19">
        <f>ПЧ!G17-'ПЧ-38 16г '!G21</f>
        <v>-4</v>
      </c>
      <c r="H21" s="19">
        <f>ПЧ!H17-'ПЧ-38 16г '!H21</f>
        <v>0</v>
      </c>
      <c r="I21" s="19">
        <f>ПЧ!I17-'ПЧ-38 16г '!I21</f>
        <v>-3</v>
      </c>
      <c r="J21" s="19">
        <f>ПЧ!J17-'ПЧ-38 16г '!J21</f>
        <v>0</v>
      </c>
    </row>
    <row r="22" spans="1:10" ht="13.5" thickBot="1" x14ac:dyDescent="0.25">
      <c r="A22" s="10"/>
      <c r="B22" s="10" t="s">
        <v>28</v>
      </c>
      <c r="C22" s="17">
        <v>14</v>
      </c>
      <c r="D22" s="19">
        <f>ПЧ!D19-'ПЧ-38 16г '!D22</f>
        <v>-58</v>
      </c>
      <c r="E22" s="19">
        <f>ПЧ!E19-'ПЧ-38 16г '!E22</f>
        <v>0</v>
      </c>
      <c r="F22" s="19">
        <f>ПЧ!F19-'ПЧ-38 16г '!F22</f>
        <v>0</v>
      </c>
      <c r="G22" s="19">
        <f>ПЧ!G19-'ПЧ-38 16г '!G22</f>
        <v>-27</v>
      </c>
      <c r="H22" s="19">
        <f>ПЧ!H19-'ПЧ-38 16г '!H22</f>
        <v>0</v>
      </c>
      <c r="I22" s="19">
        <f>ПЧ!I19-'ПЧ-38 16г '!I22</f>
        <v>-31</v>
      </c>
      <c r="J22" s="19">
        <f>ПЧ!J19-'ПЧ-38 16г '!J22</f>
        <v>0</v>
      </c>
    </row>
    <row r="23" spans="1:10" ht="13.5" thickBot="1" x14ac:dyDescent="0.25">
      <c r="A23" s="10"/>
      <c r="B23" s="10"/>
      <c r="C23" s="17">
        <v>17</v>
      </c>
      <c r="D23" s="19">
        <f>ПЧ!D20-'ПЧ-38 16г '!D23</f>
        <v>-21</v>
      </c>
      <c r="E23" s="19">
        <f>ПЧ!E20-'ПЧ-38 16г '!E23</f>
        <v>0</v>
      </c>
      <c r="F23" s="19">
        <f>ПЧ!F20-'ПЧ-38 16г '!F23</f>
        <v>0</v>
      </c>
      <c r="G23" s="19">
        <f>ПЧ!G20-'ПЧ-38 16г '!G23</f>
        <v>-12</v>
      </c>
      <c r="H23" s="19">
        <f>ПЧ!H20-'ПЧ-38 16г '!H23</f>
        <v>0</v>
      </c>
      <c r="I23" s="19">
        <f>ПЧ!I20-'ПЧ-38 16г '!I23</f>
        <v>-9</v>
      </c>
      <c r="J23" s="19">
        <f>ПЧ!J20-'ПЧ-38 16г '!J23</f>
        <v>0</v>
      </c>
    </row>
    <row r="24" spans="1:10" ht="13.5" thickBot="1" x14ac:dyDescent="0.25">
      <c r="A24" s="21"/>
      <c r="B24" s="15"/>
      <c r="C24" s="17">
        <v>18</v>
      </c>
      <c r="D24" s="19">
        <f>ПЧ!D21-'ПЧ-38 16г '!D24</f>
        <v>-11</v>
      </c>
      <c r="E24" s="19">
        <f>ПЧ!E21-'ПЧ-38 16г '!E24</f>
        <v>0</v>
      </c>
      <c r="F24" s="19">
        <f>ПЧ!F21-'ПЧ-38 16г '!F24</f>
        <v>0</v>
      </c>
      <c r="G24" s="19">
        <f>ПЧ!G21-'ПЧ-38 16г '!G24</f>
        <v>-5</v>
      </c>
      <c r="H24" s="19">
        <f>ПЧ!H21-'ПЧ-38 16г '!H24</f>
        <v>0</v>
      </c>
      <c r="I24" s="19">
        <f>ПЧ!I21-'ПЧ-38 16г '!I24</f>
        <v>-6</v>
      </c>
      <c r="J24" s="19">
        <f>ПЧ!J21-'ПЧ-38 16г '!J24</f>
        <v>0</v>
      </c>
    </row>
    <row r="25" spans="1:10" ht="13.5" thickBot="1" x14ac:dyDescent="0.25">
      <c r="A25" s="15"/>
      <c r="B25" s="22" t="s">
        <v>29</v>
      </c>
      <c r="C25" s="19"/>
      <c r="D25" s="19">
        <f>ПЧ!D22-'ПЧ-38 16г '!D25</f>
        <v>-125</v>
      </c>
      <c r="E25" s="19">
        <f>ПЧ!E22-'ПЧ-38 16г '!E25</f>
        <v>0</v>
      </c>
      <c r="F25" s="19">
        <f>ПЧ!F22-'ПЧ-38 16г '!F25</f>
        <v>0</v>
      </c>
      <c r="G25" s="19">
        <f>ПЧ!G22-'ПЧ-38 16г '!G25</f>
        <v>-60</v>
      </c>
      <c r="H25" s="19">
        <f>ПЧ!H22-'ПЧ-38 16г '!H25</f>
        <v>0</v>
      </c>
      <c r="I25" s="19">
        <f>ПЧ!I22-'ПЧ-38 16г '!I25</f>
        <v>-65</v>
      </c>
      <c r="J25" s="19">
        <f>ПЧ!J22-'ПЧ-38 16г '!J25</f>
        <v>0</v>
      </c>
    </row>
    <row r="26" spans="1:10" ht="13.5" thickBot="1" x14ac:dyDescent="0.25">
      <c r="A26" s="6" t="s">
        <v>30</v>
      </c>
      <c r="B26" t="s">
        <v>31</v>
      </c>
      <c r="C26" s="6">
        <v>20</v>
      </c>
      <c r="D26" s="19">
        <f>ПЧ!D23-'ПЧ-38 16г '!D26</f>
        <v>0</v>
      </c>
      <c r="E26" s="19">
        <f>ПЧ!E23-'ПЧ-38 16г '!E26</f>
        <v>0</v>
      </c>
      <c r="F26" s="19">
        <f>ПЧ!F23-'ПЧ-38 16г '!F26</f>
        <v>0</v>
      </c>
      <c r="G26" s="19">
        <f>ПЧ!G23-'ПЧ-38 16г '!G26</f>
        <v>0</v>
      </c>
      <c r="H26" s="19">
        <f>ПЧ!H23-'ПЧ-38 16г '!H26</f>
        <v>0</v>
      </c>
      <c r="I26" s="19">
        <f>ПЧ!I23-'ПЧ-38 16г '!I26</f>
        <v>0</v>
      </c>
      <c r="J26" s="19">
        <f>ПЧ!J23-'ПЧ-38 16г '!J26</f>
        <v>0</v>
      </c>
    </row>
    <row r="27" spans="1:10" ht="13.5" thickBot="1" x14ac:dyDescent="0.25">
      <c r="A27" s="10"/>
      <c r="B27" t="s">
        <v>32</v>
      </c>
      <c r="C27" s="17">
        <v>21</v>
      </c>
      <c r="D27" s="19">
        <f>ПЧ!D24-'ПЧ-38 16г '!D27</f>
        <v>-5</v>
      </c>
      <c r="E27" s="19">
        <f>ПЧ!E24-'ПЧ-38 16г '!E27</f>
        <v>0</v>
      </c>
      <c r="F27" s="19">
        <f>ПЧ!F24-'ПЧ-38 16г '!F27</f>
        <v>0</v>
      </c>
      <c r="G27" s="19">
        <f>ПЧ!G24-'ПЧ-38 16г '!G27</f>
        <v>-3</v>
      </c>
      <c r="H27" s="19">
        <f>ПЧ!H24-'ПЧ-38 16г '!H27</f>
        <v>0</v>
      </c>
      <c r="I27" s="19">
        <f>ПЧ!I24-'ПЧ-38 16г '!I27</f>
        <v>-2</v>
      </c>
      <c r="J27" s="19">
        <f>ПЧ!J24-'ПЧ-38 16г '!J27</f>
        <v>0</v>
      </c>
    </row>
    <row r="28" spans="1:10" ht="13.5" thickBot="1" x14ac:dyDescent="0.25">
      <c r="A28" s="10"/>
      <c r="C28" s="11">
        <v>24</v>
      </c>
      <c r="D28" s="19">
        <f>ПЧ!D25-'ПЧ-38 16г '!D28</f>
        <v>-6</v>
      </c>
      <c r="E28" s="19">
        <f>ПЧ!E25-'ПЧ-38 16г '!E28</f>
        <v>0</v>
      </c>
      <c r="F28" s="19">
        <f>ПЧ!F25-'ПЧ-38 16г '!F28</f>
        <v>0</v>
      </c>
      <c r="G28" s="19">
        <f>ПЧ!G25-'ПЧ-38 16г '!G28</f>
        <v>-4</v>
      </c>
      <c r="H28" s="19">
        <f>ПЧ!H25-'ПЧ-38 16г '!H28</f>
        <v>0</v>
      </c>
      <c r="I28" s="19">
        <f>ПЧ!I25-'ПЧ-38 16г '!I28</f>
        <v>-2</v>
      </c>
      <c r="J28" s="19">
        <f>ПЧ!J25-'ПЧ-38 16г '!J28</f>
        <v>0</v>
      </c>
    </row>
    <row r="29" spans="1:10" ht="13.5" thickBot="1" x14ac:dyDescent="0.25">
      <c r="A29" s="10"/>
      <c r="C29" s="17">
        <v>25</v>
      </c>
      <c r="D29" s="19">
        <f>ПЧ!D26-'ПЧ-38 16г '!D29</f>
        <v>0</v>
      </c>
      <c r="E29" s="19">
        <f>ПЧ!E26-'ПЧ-38 16г '!E29</f>
        <v>0</v>
      </c>
      <c r="F29" s="19">
        <f>ПЧ!F26-'ПЧ-38 16г '!F29</f>
        <v>0</v>
      </c>
      <c r="G29" s="19">
        <f>ПЧ!G26-'ПЧ-38 16г '!G29</f>
        <v>0</v>
      </c>
      <c r="H29" s="19">
        <f>ПЧ!H26-'ПЧ-38 16г '!H29</f>
        <v>0</v>
      </c>
      <c r="I29" s="19">
        <f>ПЧ!I26-'ПЧ-38 16г '!I29</f>
        <v>0</v>
      </c>
      <c r="J29" s="19">
        <f>ПЧ!J26-'ПЧ-38 16г '!J29</f>
        <v>0</v>
      </c>
    </row>
    <row r="30" spans="1:10" ht="13.5" thickBot="1" x14ac:dyDescent="0.25">
      <c r="A30" s="10"/>
      <c r="C30" s="17">
        <v>26</v>
      </c>
      <c r="D30" s="19">
        <f>ПЧ!D27-'ПЧ-38 16г '!D30</f>
        <v>-2</v>
      </c>
      <c r="E30" s="19">
        <f>ПЧ!E27-'ПЧ-38 16г '!E30</f>
        <v>0</v>
      </c>
      <c r="F30" s="19">
        <f>ПЧ!F27-'ПЧ-38 16г '!F30</f>
        <v>0</v>
      </c>
      <c r="G30" s="19">
        <f>ПЧ!G27-'ПЧ-38 16г '!G30</f>
        <v>-2</v>
      </c>
      <c r="H30" s="19">
        <f>ПЧ!H27-'ПЧ-38 16г '!H30</f>
        <v>0</v>
      </c>
      <c r="I30" s="19">
        <f>ПЧ!I27-'ПЧ-38 16г '!I30</f>
        <v>0</v>
      </c>
      <c r="J30" s="19">
        <f>ПЧ!J27-'ПЧ-38 16г '!J30</f>
        <v>0</v>
      </c>
    </row>
    <row r="31" spans="1:10" ht="13.5" thickBot="1" x14ac:dyDescent="0.25">
      <c r="A31" s="10"/>
      <c r="C31" s="16">
        <v>27</v>
      </c>
      <c r="D31" s="19">
        <f>ПЧ!D28-'ПЧ-38 16г '!D31</f>
        <v>0</v>
      </c>
      <c r="E31" s="19">
        <f>ПЧ!E28-'ПЧ-38 16г '!E31</f>
        <v>0</v>
      </c>
      <c r="F31" s="19">
        <f>ПЧ!F28-'ПЧ-38 16г '!F31</f>
        <v>0</v>
      </c>
      <c r="G31" s="19">
        <f>ПЧ!G28-'ПЧ-38 16г '!G31</f>
        <v>0</v>
      </c>
      <c r="H31" s="19">
        <f>ПЧ!H28-'ПЧ-38 16г '!H31</f>
        <v>0</v>
      </c>
      <c r="I31" s="19">
        <f>ПЧ!I28-'ПЧ-38 16г '!I31</f>
        <v>0</v>
      </c>
      <c r="J31" s="19">
        <f>ПЧ!J28-'ПЧ-38 16г '!J31</f>
        <v>0</v>
      </c>
    </row>
    <row r="32" spans="1:10" ht="13.5" thickBot="1" x14ac:dyDescent="0.25">
      <c r="A32" s="15"/>
      <c r="B32" s="23" t="s">
        <v>29</v>
      </c>
      <c r="C32" s="19"/>
      <c r="D32" s="19">
        <f>ПЧ!D29-'ПЧ-38 16г '!D32</f>
        <v>-13</v>
      </c>
      <c r="E32" s="19">
        <f>ПЧ!E29-'ПЧ-38 16г '!E32</f>
        <v>0</v>
      </c>
      <c r="F32" s="19">
        <f>ПЧ!F29-'ПЧ-38 16г '!F32</f>
        <v>0</v>
      </c>
      <c r="G32" s="19">
        <f>ПЧ!G29-'ПЧ-38 16г '!G32</f>
        <v>-9</v>
      </c>
      <c r="H32" s="19">
        <f>ПЧ!H29-'ПЧ-38 16г '!H32</f>
        <v>0</v>
      </c>
      <c r="I32" s="19">
        <f>ПЧ!I29-'ПЧ-38 16г '!I32</f>
        <v>-4</v>
      </c>
      <c r="J32" s="19">
        <f>ПЧ!J29-'ПЧ-38 16г '!J32</f>
        <v>0</v>
      </c>
    </row>
    <row r="33" spans="1:10" ht="13.5" thickBot="1" x14ac:dyDescent="0.25">
      <c r="A33" s="6" t="s">
        <v>33</v>
      </c>
      <c r="B33" s="24" t="s">
        <v>34</v>
      </c>
      <c r="C33" s="17" t="s">
        <v>35</v>
      </c>
      <c r="D33" s="19">
        <f>ПЧ!D30-'ПЧ-38 16г '!D33</f>
        <v>-1</v>
      </c>
      <c r="E33" s="19">
        <f>ПЧ!E30-'ПЧ-38 16г '!E33</f>
        <v>0</v>
      </c>
      <c r="F33" s="19">
        <f>ПЧ!F30-'ПЧ-38 16г '!F33</f>
        <v>0</v>
      </c>
      <c r="G33" s="19">
        <f>ПЧ!G30-'ПЧ-38 16г '!G33</f>
        <v>0</v>
      </c>
      <c r="H33" s="19">
        <f>ПЧ!H30-'ПЧ-38 16г '!H33</f>
        <v>0</v>
      </c>
      <c r="I33" s="19">
        <f>ПЧ!I30-'ПЧ-38 16г '!I33</f>
        <v>-1</v>
      </c>
      <c r="J33" s="19">
        <f>ПЧ!J30-'ПЧ-38 16г '!J33</f>
        <v>0</v>
      </c>
    </row>
    <row r="34" spans="1:10" ht="13.5" thickBot="1" x14ac:dyDescent="0.25">
      <c r="A34" s="10"/>
      <c r="B34" s="26" t="s">
        <v>36</v>
      </c>
      <c r="C34" s="17" t="s">
        <v>37</v>
      </c>
      <c r="D34" s="19">
        <f>ПЧ!D31-'ПЧ-38 16г '!D34</f>
        <v>-5</v>
      </c>
      <c r="E34" s="19">
        <f>ПЧ!E31-'ПЧ-38 16г '!E34</f>
        <v>0</v>
      </c>
      <c r="F34" s="19">
        <f>ПЧ!F31-'ПЧ-38 16г '!F34</f>
        <v>0</v>
      </c>
      <c r="G34" s="19">
        <f>ПЧ!G31-'ПЧ-38 16г '!G34</f>
        <v>-1</v>
      </c>
      <c r="H34" s="19">
        <f>ПЧ!H31-'ПЧ-38 16г '!H34</f>
        <v>0</v>
      </c>
      <c r="I34" s="19">
        <f>ПЧ!I31-'ПЧ-38 16г '!I34</f>
        <v>-4</v>
      </c>
      <c r="J34" s="19">
        <f>ПЧ!J31-'ПЧ-38 16г '!J34</f>
        <v>0</v>
      </c>
    </row>
    <row r="35" spans="1:10" ht="13.5" thickBot="1" x14ac:dyDescent="0.25">
      <c r="A35" s="10"/>
      <c r="B35" s="27" t="s">
        <v>38</v>
      </c>
      <c r="C35" s="17">
        <v>38</v>
      </c>
      <c r="D35" s="19">
        <f>ПЧ!D32-'ПЧ-38 16г '!D35</f>
        <v>0</v>
      </c>
      <c r="E35" s="19">
        <f>ПЧ!E32-'ПЧ-38 16г '!E35</f>
        <v>0</v>
      </c>
      <c r="F35" s="19">
        <f>ПЧ!F32-'ПЧ-38 16г '!F35</f>
        <v>0</v>
      </c>
      <c r="G35" s="19">
        <f>ПЧ!G32-'ПЧ-38 16г '!G35</f>
        <v>0</v>
      </c>
      <c r="H35" s="19">
        <f>ПЧ!H32-'ПЧ-38 16г '!H35</f>
        <v>0</v>
      </c>
      <c r="I35" s="19">
        <f>ПЧ!I32-'ПЧ-38 16г '!I35</f>
        <v>0</v>
      </c>
      <c r="J35" s="19">
        <f>ПЧ!J32-'ПЧ-38 16г '!J35</f>
        <v>0</v>
      </c>
    </row>
    <row r="36" spans="1:10" ht="13.5" thickBot="1" x14ac:dyDescent="0.25">
      <c r="A36" s="15"/>
      <c r="B36" s="22" t="s">
        <v>29</v>
      </c>
      <c r="C36" s="19"/>
      <c r="D36" s="19">
        <f>ПЧ!D33-'ПЧ-38 16г '!D36</f>
        <v>-6</v>
      </c>
      <c r="E36" s="19">
        <f>ПЧ!E33-'ПЧ-38 16г '!E36</f>
        <v>0</v>
      </c>
      <c r="F36" s="19">
        <f>ПЧ!F33-'ПЧ-38 16г '!F36</f>
        <v>0</v>
      </c>
      <c r="G36" s="19">
        <f>ПЧ!G33-'ПЧ-38 16г '!G36</f>
        <v>-1</v>
      </c>
      <c r="H36" s="19">
        <f>ПЧ!H33-'ПЧ-38 16г '!H36</f>
        <v>0</v>
      </c>
      <c r="I36" s="19">
        <f>ПЧ!I33-'ПЧ-38 16г '!I36</f>
        <v>-5</v>
      </c>
      <c r="J36" s="19">
        <f>ПЧ!J33-'ПЧ-38 16г '!J36</f>
        <v>0</v>
      </c>
    </row>
    <row r="37" spans="1:10" ht="13.5" thickBot="1" x14ac:dyDescent="0.25">
      <c r="A37" s="6" t="s">
        <v>39</v>
      </c>
      <c r="B37" t="s">
        <v>40</v>
      </c>
      <c r="C37" s="17">
        <v>40</v>
      </c>
      <c r="D37" s="19">
        <f>ПЧ!D34-'ПЧ-38 16г '!D37</f>
        <v>-1</v>
      </c>
      <c r="E37" s="19">
        <f>ПЧ!E34-'ПЧ-38 16г '!E37</f>
        <v>0</v>
      </c>
      <c r="F37" s="19">
        <f>ПЧ!F34-'ПЧ-38 16г '!F37</f>
        <v>0</v>
      </c>
      <c r="G37" s="19">
        <f>ПЧ!G34-'ПЧ-38 16г '!G37</f>
        <v>0</v>
      </c>
      <c r="H37" s="19">
        <f>ПЧ!H34-'ПЧ-38 16г '!H37</f>
        <v>0</v>
      </c>
      <c r="I37" s="19">
        <f>ПЧ!I34-'ПЧ-38 16г '!I37</f>
        <v>-1</v>
      </c>
      <c r="J37" s="19">
        <f>ПЧ!J34-'ПЧ-38 16г '!J37</f>
        <v>0</v>
      </c>
    </row>
    <row r="38" spans="1:10" ht="13.5" thickBot="1" x14ac:dyDescent="0.25">
      <c r="A38" s="10"/>
      <c r="B38" t="s">
        <v>41</v>
      </c>
      <c r="C38" s="17">
        <v>41</v>
      </c>
      <c r="D38" s="19">
        <f>ПЧ!D35-'ПЧ-38 16г '!D38</f>
        <v>-1</v>
      </c>
      <c r="E38" s="19">
        <f>ПЧ!E35-'ПЧ-38 16г '!E38</f>
        <v>0</v>
      </c>
      <c r="F38" s="19">
        <f>ПЧ!F35-'ПЧ-38 16г '!F38</f>
        <v>0</v>
      </c>
      <c r="G38" s="19">
        <f>ПЧ!G35-'ПЧ-38 16г '!G38</f>
        <v>0</v>
      </c>
      <c r="H38" s="19">
        <f>ПЧ!H35-'ПЧ-38 16г '!H38</f>
        <v>0</v>
      </c>
      <c r="I38" s="19">
        <f>ПЧ!I35-'ПЧ-38 16г '!I38</f>
        <v>-1</v>
      </c>
      <c r="J38" s="19">
        <f>ПЧ!J35-'ПЧ-38 16г '!J38</f>
        <v>0</v>
      </c>
    </row>
    <row r="39" spans="1:10" ht="13.5" thickBot="1" x14ac:dyDescent="0.25">
      <c r="A39" s="10"/>
      <c r="C39" s="17">
        <v>43</v>
      </c>
      <c r="D39" s="19">
        <f>ПЧ!D36-'ПЧ-38 16г '!D39</f>
        <v>0</v>
      </c>
      <c r="E39" s="19">
        <f>ПЧ!E36-'ПЧ-38 16г '!E39</f>
        <v>0</v>
      </c>
      <c r="F39" s="19">
        <f>ПЧ!F36-'ПЧ-38 16г '!F39</f>
        <v>0</v>
      </c>
      <c r="G39" s="19">
        <f>ПЧ!G36-'ПЧ-38 16г '!G39</f>
        <v>0</v>
      </c>
      <c r="H39" s="19">
        <f>ПЧ!H36-'ПЧ-38 16г '!H39</f>
        <v>0</v>
      </c>
      <c r="I39" s="19">
        <f>ПЧ!I36-'ПЧ-38 16г '!I39</f>
        <v>0</v>
      </c>
      <c r="J39" s="19">
        <f>ПЧ!J36-'ПЧ-38 16г '!J39</f>
        <v>0</v>
      </c>
    </row>
    <row r="40" spans="1:10" ht="13.5" thickBot="1" x14ac:dyDescent="0.25">
      <c r="A40" s="10"/>
      <c r="C40" s="17">
        <v>44</v>
      </c>
      <c r="D40" s="19">
        <f>ПЧ!D37-'ПЧ-38 16г '!D40</f>
        <v>0</v>
      </c>
      <c r="E40" s="19">
        <f>ПЧ!E37-'ПЧ-38 16г '!E40</f>
        <v>0</v>
      </c>
      <c r="F40" s="19">
        <f>ПЧ!F37-'ПЧ-38 16г '!F40</f>
        <v>0</v>
      </c>
      <c r="G40" s="19">
        <f>ПЧ!G37-'ПЧ-38 16г '!G40</f>
        <v>0</v>
      </c>
      <c r="H40" s="19">
        <f>ПЧ!H37-'ПЧ-38 16г '!H40</f>
        <v>0</v>
      </c>
      <c r="I40" s="19">
        <f>ПЧ!I37-'ПЧ-38 16г '!I40</f>
        <v>0</v>
      </c>
      <c r="J40" s="19">
        <f>ПЧ!J37-'ПЧ-38 16г '!J40</f>
        <v>0</v>
      </c>
    </row>
    <row r="41" spans="1:10" ht="13.5" thickBot="1" x14ac:dyDescent="0.25">
      <c r="A41" s="10"/>
      <c r="C41" s="17">
        <v>46</v>
      </c>
      <c r="D41" s="19">
        <f>ПЧ!D38-'ПЧ-38 16г '!D41</f>
        <v>0</v>
      </c>
      <c r="E41" s="19">
        <f>ПЧ!E38-'ПЧ-38 16г '!E41</f>
        <v>0</v>
      </c>
      <c r="F41" s="19">
        <f>ПЧ!F38-'ПЧ-38 16г '!F41</f>
        <v>0</v>
      </c>
      <c r="G41" s="19">
        <f>ПЧ!G38-'ПЧ-38 16г '!G41</f>
        <v>0</v>
      </c>
      <c r="H41" s="19">
        <f>ПЧ!H38-'ПЧ-38 16г '!H41</f>
        <v>0</v>
      </c>
      <c r="I41" s="19">
        <f>ПЧ!I38-'ПЧ-38 16г '!I41</f>
        <v>0</v>
      </c>
      <c r="J41" s="19">
        <f>ПЧ!J38-'ПЧ-38 16г '!J41</f>
        <v>0</v>
      </c>
    </row>
    <row r="42" spans="1:10" ht="13.5" thickBot="1" x14ac:dyDescent="0.25">
      <c r="A42" s="10"/>
      <c r="C42" s="17">
        <v>47</v>
      </c>
      <c r="D42" s="19">
        <f>ПЧ!D39-'ПЧ-38 16г '!D42</f>
        <v>0</v>
      </c>
      <c r="E42" s="19">
        <f>ПЧ!E39-'ПЧ-38 16г '!E42</f>
        <v>0</v>
      </c>
      <c r="F42" s="19">
        <f>ПЧ!F39-'ПЧ-38 16г '!F42</f>
        <v>0</v>
      </c>
      <c r="G42" s="19">
        <f>ПЧ!G39-'ПЧ-38 16г '!G42</f>
        <v>0</v>
      </c>
      <c r="H42" s="19">
        <f>ПЧ!H39-'ПЧ-38 16г '!H42</f>
        <v>0</v>
      </c>
      <c r="I42" s="19">
        <f>ПЧ!I39-'ПЧ-38 16г '!I42</f>
        <v>0</v>
      </c>
      <c r="J42" s="19">
        <f>ПЧ!J39-'ПЧ-38 16г '!J42</f>
        <v>0</v>
      </c>
    </row>
    <row r="43" spans="1:10" ht="13.5" thickBot="1" x14ac:dyDescent="0.25">
      <c r="A43" s="10"/>
      <c r="C43" s="11">
        <v>49</v>
      </c>
      <c r="D43" s="19">
        <f>ПЧ!D40-'ПЧ-38 16г '!D43</f>
        <v>0</v>
      </c>
      <c r="E43" s="19">
        <f>ПЧ!E40-'ПЧ-38 16г '!E43</f>
        <v>0</v>
      </c>
      <c r="F43" s="19">
        <f>ПЧ!F40-'ПЧ-38 16г '!F43</f>
        <v>0</v>
      </c>
      <c r="G43" s="19">
        <f>ПЧ!G40-'ПЧ-38 16г '!G43</f>
        <v>0</v>
      </c>
      <c r="H43" s="19">
        <f>ПЧ!H40-'ПЧ-38 16г '!H43</f>
        <v>0</v>
      </c>
      <c r="I43" s="19">
        <f>ПЧ!I40-'ПЧ-38 16г '!I43</f>
        <v>0</v>
      </c>
      <c r="J43" s="19">
        <f>ПЧ!J40-'ПЧ-38 16г '!J43</f>
        <v>0</v>
      </c>
    </row>
    <row r="44" spans="1:10" ht="13.5" thickBot="1" x14ac:dyDescent="0.25">
      <c r="A44" s="15"/>
      <c r="B44" s="22" t="s">
        <v>29</v>
      </c>
      <c r="C44" s="19"/>
      <c r="D44" s="19">
        <f>ПЧ!D41-'ПЧ-38 16г '!D44</f>
        <v>-2</v>
      </c>
      <c r="E44" s="19">
        <f>ПЧ!E41-'ПЧ-38 16г '!E44</f>
        <v>0</v>
      </c>
      <c r="F44" s="19">
        <f>ПЧ!F41-'ПЧ-38 16г '!F44</f>
        <v>0</v>
      </c>
      <c r="G44" s="19">
        <f>ПЧ!G41-'ПЧ-38 16г '!G44</f>
        <v>0</v>
      </c>
      <c r="H44" s="19">
        <f>ПЧ!H41-'ПЧ-38 16г '!H44</f>
        <v>0</v>
      </c>
      <c r="I44" s="19">
        <f>ПЧ!I41-'ПЧ-38 16г '!I44</f>
        <v>-2</v>
      </c>
      <c r="J44" s="19">
        <f>ПЧ!J41-'ПЧ-38 16г '!J44</f>
        <v>0</v>
      </c>
    </row>
    <row r="45" spans="1:10" ht="13.5" thickBot="1" x14ac:dyDescent="0.25">
      <c r="A45" s="6" t="s">
        <v>42</v>
      </c>
      <c r="B45" s="4" t="s">
        <v>43</v>
      </c>
      <c r="C45" s="17">
        <v>50</v>
      </c>
      <c r="D45" s="19">
        <f>ПЧ!D42-'ПЧ-38 16г '!D45</f>
        <v>0</v>
      </c>
      <c r="E45" s="19">
        <f>ПЧ!E42-'ПЧ-38 16г '!E45</f>
        <v>0</v>
      </c>
      <c r="F45" s="19">
        <f>ПЧ!F42-'ПЧ-38 16г '!F45</f>
        <v>0</v>
      </c>
      <c r="G45" s="19">
        <f>ПЧ!G42-'ПЧ-38 16г '!G45</f>
        <v>0</v>
      </c>
      <c r="H45" s="19">
        <f>ПЧ!H42-'ПЧ-38 16г '!H45</f>
        <v>0</v>
      </c>
      <c r="I45" s="19">
        <f>ПЧ!I42-'ПЧ-38 16г '!I45</f>
        <v>0</v>
      </c>
      <c r="J45" s="19">
        <f>ПЧ!J42-'ПЧ-38 16г '!J45</f>
        <v>0</v>
      </c>
    </row>
    <row r="46" spans="1:10" ht="13.5" thickBot="1" x14ac:dyDescent="0.25">
      <c r="A46" s="10"/>
      <c r="B46" t="s">
        <v>44</v>
      </c>
      <c r="C46" s="17">
        <v>52</v>
      </c>
      <c r="D46" s="19">
        <f>ПЧ!D43-'ПЧ-38 16г '!D46</f>
        <v>0</v>
      </c>
      <c r="E46" s="19">
        <f>ПЧ!E43-'ПЧ-38 16г '!E46</f>
        <v>0</v>
      </c>
      <c r="F46" s="19">
        <f>ПЧ!F43-'ПЧ-38 16г '!F46</f>
        <v>0</v>
      </c>
      <c r="G46" s="19">
        <f>ПЧ!G43-'ПЧ-38 16г '!G46</f>
        <v>0</v>
      </c>
      <c r="H46" s="19">
        <f>ПЧ!H43-'ПЧ-38 16г '!H46</f>
        <v>0</v>
      </c>
      <c r="I46" s="19">
        <f>ПЧ!I43-'ПЧ-38 16г '!I46</f>
        <v>0</v>
      </c>
      <c r="J46" s="19">
        <f>ПЧ!J43-'ПЧ-38 16г '!J46</f>
        <v>0</v>
      </c>
    </row>
    <row r="47" spans="1:10" ht="13.5" thickBot="1" x14ac:dyDescent="0.25">
      <c r="A47" s="10"/>
      <c r="B47" s="1"/>
      <c r="C47" s="17">
        <v>53</v>
      </c>
      <c r="D47" s="19">
        <f>ПЧ!D44-'ПЧ-38 16г '!D47</f>
        <v>0</v>
      </c>
      <c r="E47" s="19">
        <f>ПЧ!E44-'ПЧ-38 16г '!E47</f>
        <v>0</v>
      </c>
      <c r="F47" s="19">
        <f>ПЧ!F44-'ПЧ-38 16г '!F47</f>
        <v>0</v>
      </c>
      <c r="G47" s="19">
        <f>ПЧ!G44-'ПЧ-38 16г '!G47</f>
        <v>0</v>
      </c>
      <c r="H47" s="19">
        <f>ПЧ!H44-'ПЧ-38 16г '!H47</f>
        <v>0</v>
      </c>
      <c r="I47" s="19">
        <f>ПЧ!I44-'ПЧ-38 16г '!I47</f>
        <v>0</v>
      </c>
      <c r="J47" s="19">
        <f>ПЧ!J44-'ПЧ-38 16г '!J47</f>
        <v>0</v>
      </c>
    </row>
    <row r="48" spans="1:10" ht="13.5" thickBot="1" x14ac:dyDescent="0.25">
      <c r="A48" s="10"/>
      <c r="C48" s="17">
        <v>55</v>
      </c>
      <c r="D48" s="19">
        <f>ПЧ!D45-'ПЧ-38 16г '!D48</f>
        <v>-2</v>
      </c>
      <c r="E48" s="19">
        <f>ПЧ!E45-'ПЧ-38 16г '!E48</f>
        <v>0</v>
      </c>
      <c r="F48" s="19">
        <f>ПЧ!F45-'ПЧ-38 16г '!F48</f>
        <v>0</v>
      </c>
      <c r="G48" s="19">
        <f>ПЧ!G45-'ПЧ-38 16г '!G48</f>
        <v>0</v>
      </c>
      <c r="H48" s="19">
        <f>ПЧ!H45-'ПЧ-38 16г '!H48</f>
        <v>0</v>
      </c>
      <c r="I48" s="19">
        <f>ПЧ!I45-'ПЧ-38 16г '!I48</f>
        <v>-2</v>
      </c>
      <c r="J48" s="19">
        <f>ПЧ!J45-'ПЧ-38 16г '!J48</f>
        <v>0</v>
      </c>
    </row>
    <row r="49" spans="1:14" ht="13.5" thickBot="1" x14ac:dyDescent="0.25">
      <c r="A49" s="10"/>
      <c r="C49" s="17">
        <v>56</v>
      </c>
      <c r="D49" s="19">
        <f>ПЧ!D46-'ПЧ-38 16г '!D49</f>
        <v>0</v>
      </c>
      <c r="E49" s="19">
        <f>ПЧ!E46-'ПЧ-38 16г '!E49</f>
        <v>0</v>
      </c>
      <c r="F49" s="19">
        <f>ПЧ!F46-'ПЧ-38 16г '!F49</f>
        <v>0</v>
      </c>
      <c r="G49" s="19">
        <f>ПЧ!G46-'ПЧ-38 16г '!G49</f>
        <v>0</v>
      </c>
      <c r="H49" s="19">
        <f>ПЧ!H46-'ПЧ-38 16г '!H49</f>
        <v>0</v>
      </c>
      <c r="I49" s="19">
        <f>ПЧ!I46-'ПЧ-38 16г '!I49</f>
        <v>0</v>
      </c>
      <c r="J49" s="19">
        <f>ПЧ!J46-'ПЧ-38 16г '!J49</f>
        <v>0</v>
      </c>
    </row>
    <row r="50" spans="1:14" ht="13.5" thickBot="1" x14ac:dyDescent="0.25">
      <c r="A50" s="10"/>
      <c r="C50" s="16">
        <v>59</v>
      </c>
      <c r="D50" s="19">
        <f>ПЧ!D47-'ПЧ-38 16г '!D50</f>
        <v>0</v>
      </c>
      <c r="E50" s="19">
        <f>ПЧ!E47-'ПЧ-38 16г '!E50</f>
        <v>0</v>
      </c>
      <c r="F50" s="19">
        <f>ПЧ!F47-'ПЧ-38 16г '!F50</f>
        <v>0</v>
      </c>
      <c r="G50" s="19">
        <f>ПЧ!G47-'ПЧ-38 16г '!G50</f>
        <v>0</v>
      </c>
      <c r="H50" s="19">
        <f>ПЧ!H47-'ПЧ-38 16г '!H50</f>
        <v>0</v>
      </c>
      <c r="I50" s="19">
        <f>ПЧ!I47-'ПЧ-38 16г '!I50</f>
        <v>0</v>
      </c>
      <c r="J50" s="19">
        <f>ПЧ!J47-'ПЧ-38 16г '!J50</f>
        <v>0</v>
      </c>
    </row>
    <row r="51" spans="1:14" ht="15.75" thickBot="1" x14ac:dyDescent="0.25">
      <c r="A51" s="15"/>
      <c r="B51" s="22" t="s">
        <v>29</v>
      </c>
      <c r="C51" s="19"/>
      <c r="D51" s="19">
        <f>ПЧ!D48-'ПЧ-38 16г '!D51</f>
        <v>-2</v>
      </c>
      <c r="E51" s="19">
        <f>ПЧ!E48-'ПЧ-38 16г '!E51</f>
        <v>0</v>
      </c>
      <c r="F51" s="19">
        <f>ПЧ!F48-'ПЧ-38 16г '!F51</f>
        <v>0</v>
      </c>
      <c r="G51" s="19">
        <f>ПЧ!G48-'ПЧ-38 16г '!G51</f>
        <v>0</v>
      </c>
      <c r="H51" s="19">
        <f>ПЧ!H48-'ПЧ-38 16г '!H51</f>
        <v>0</v>
      </c>
      <c r="I51" s="19">
        <f>ПЧ!I48-'ПЧ-38 16г '!I51</f>
        <v>-2</v>
      </c>
      <c r="J51" s="19">
        <f>ПЧ!J48-'ПЧ-38 16г '!J51</f>
        <v>0</v>
      </c>
      <c r="N51" s="37"/>
    </row>
    <row r="52" spans="1:14" ht="13.5" thickBot="1" x14ac:dyDescent="0.25">
      <c r="A52" s="6" t="s">
        <v>45</v>
      </c>
      <c r="B52" t="s">
        <v>43</v>
      </c>
      <c r="C52" s="6">
        <v>60</v>
      </c>
      <c r="D52" s="19">
        <f>ПЧ!D49-'ПЧ-38 16г '!D52</f>
        <v>0</v>
      </c>
      <c r="E52" s="19">
        <f>ПЧ!E49-'ПЧ-38 16г '!E52</f>
        <v>0</v>
      </c>
      <c r="F52" s="19">
        <f>ПЧ!F49-'ПЧ-38 16г '!F52</f>
        <v>0</v>
      </c>
      <c r="G52" s="19">
        <f>ПЧ!G49-'ПЧ-38 16г '!G52</f>
        <v>0</v>
      </c>
      <c r="H52" s="19">
        <f>ПЧ!H49-'ПЧ-38 16г '!H52</f>
        <v>0</v>
      </c>
      <c r="I52" s="19">
        <f>ПЧ!I49-'ПЧ-38 16г '!I52</f>
        <v>0</v>
      </c>
      <c r="J52" s="19">
        <f>ПЧ!J49-'ПЧ-38 16г '!J52</f>
        <v>0</v>
      </c>
    </row>
    <row r="53" spans="1:14" ht="13.5" thickBot="1" x14ac:dyDescent="0.25">
      <c r="A53" s="10"/>
      <c r="B53" t="s">
        <v>46</v>
      </c>
      <c r="C53" s="17">
        <v>62</v>
      </c>
      <c r="D53" s="19">
        <f>ПЧ!D50-'ПЧ-38 16г '!D53</f>
        <v>0</v>
      </c>
      <c r="E53" s="19">
        <f>ПЧ!E50-'ПЧ-38 16г '!E53</f>
        <v>0</v>
      </c>
      <c r="F53" s="19">
        <f>ПЧ!F50-'ПЧ-38 16г '!F53</f>
        <v>0</v>
      </c>
      <c r="G53" s="19">
        <f>ПЧ!G50-'ПЧ-38 16г '!G53</f>
        <v>0</v>
      </c>
      <c r="H53" s="19">
        <f>ПЧ!H50-'ПЧ-38 16г '!H53</f>
        <v>0</v>
      </c>
      <c r="I53" s="19">
        <f>ПЧ!I50-'ПЧ-38 16г '!I53</f>
        <v>0</v>
      </c>
      <c r="J53" s="19">
        <f>ПЧ!J50-'ПЧ-38 16г '!J53</f>
        <v>0</v>
      </c>
    </row>
    <row r="54" spans="1:14" ht="13.5" thickBot="1" x14ac:dyDescent="0.25">
      <c r="A54" s="10"/>
      <c r="C54" s="11">
        <v>65</v>
      </c>
      <c r="D54" s="19">
        <f>ПЧ!D51-'ПЧ-38 16г '!D54</f>
        <v>0</v>
      </c>
      <c r="E54" s="19">
        <f>ПЧ!E51-'ПЧ-38 16г '!E54</f>
        <v>0</v>
      </c>
      <c r="F54" s="19">
        <f>ПЧ!F51-'ПЧ-38 16г '!F54</f>
        <v>0</v>
      </c>
      <c r="G54" s="19">
        <f>ПЧ!G51-'ПЧ-38 16г '!G54</f>
        <v>0</v>
      </c>
      <c r="H54" s="19">
        <f>ПЧ!H51-'ПЧ-38 16г '!H54</f>
        <v>0</v>
      </c>
      <c r="I54" s="19">
        <f>ПЧ!I51-'ПЧ-38 16г '!I54</f>
        <v>0</v>
      </c>
      <c r="J54" s="19">
        <f>ПЧ!J51-'ПЧ-38 16г '!J54</f>
        <v>0</v>
      </c>
    </row>
    <row r="55" spans="1:14" ht="13.5" thickBot="1" x14ac:dyDescent="0.25">
      <c r="A55" s="10"/>
      <c r="C55" s="17">
        <v>66</v>
      </c>
      <c r="D55" s="19">
        <f>ПЧ!D52-'ПЧ-38 16г '!D55</f>
        <v>0</v>
      </c>
      <c r="E55" s="19">
        <f>ПЧ!E52-'ПЧ-38 16г '!E55</f>
        <v>0</v>
      </c>
      <c r="F55" s="19">
        <f>ПЧ!F52-'ПЧ-38 16г '!F55</f>
        <v>0</v>
      </c>
      <c r="G55" s="19">
        <f>ПЧ!G52-'ПЧ-38 16г '!G55</f>
        <v>0</v>
      </c>
      <c r="H55" s="19">
        <f>ПЧ!H52-'ПЧ-38 16г '!H55</f>
        <v>0</v>
      </c>
      <c r="I55" s="19">
        <f>ПЧ!I52-'ПЧ-38 16г '!I55</f>
        <v>0</v>
      </c>
      <c r="J55" s="19">
        <f>ПЧ!J52-'ПЧ-38 16г '!J55</f>
        <v>0</v>
      </c>
    </row>
    <row r="56" spans="1:14" ht="13.5" thickBot="1" x14ac:dyDescent="0.25">
      <c r="A56" s="10"/>
      <c r="C56" s="16">
        <v>69</v>
      </c>
      <c r="D56" s="19">
        <f>ПЧ!D53-'ПЧ-38 16г '!D56</f>
        <v>0</v>
      </c>
      <c r="E56" s="19">
        <f>ПЧ!E53-'ПЧ-38 16г '!E56</f>
        <v>0</v>
      </c>
      <c r="F56" s="19">
        <f>ПЧ!F53-'ПЧ-38 16г '!F56</f>
        <v>0</v>
      </c>
      <c r="G56" s="19">
        <f>ПЧ!G53-'ПЧ-38 16г '!G56</f>
        <v>0</v>
      </c>
      <c r="H56" s="19">
        <f>ПЧ!H53-'ПЧ-38 16г '!H56</f>
        <v>0</v>
      </c>
      <c r="I56" s="19">
        <f>ПЧ!I53-'ПЧ-38 16г '!I56</f>
        <v>0</v>
      </c>
      <c r="J56" s="19">
        <f>ПЧ!J53-'ПЧ-38 16г '!J56</f>
        <v>0</v>
      </c>
    </row>
    <row r="57" spans="1:14" ht="13.5" thickBot="1" x14ac:dyDescent="0.25">
      <c r="A57" s="15"/>
      <c r="B57" s="22" t="s">
        <v>29</v>
      </c>
      <c r="C57" s="19"/>
      <c r="D57" s="19">
        <f>ПЧ!D54-'ПЧ-38 16г '!D57</f>
        <v>0</v>
      </c>
      <c r="E57" s="19">
        <f>ПЧ!E54-'ПЧ-38 16г '!E57</f>
        <v>0</v>
      </c>
      <c r="F57" s="19">
        <f>ПЧ!F54-'ПЧ-38 16г '!F57</f>
        <v>0</v>
      </c>
      <c r="G57" s="19">
        <f>ПЧ!G54-'ПЧ-38 16г '!G57</f>
        <v>0</v>
      </c>
      <c r="H57" s="19">
        <f>ПЧ!H54-'ПЧ-38 16г '!H57</f>
        <v>0</v>
      </c>
      <c r="I57" s="19">
        <f>ПЧ!I54-'ПЧ-38 16г '!I57</f>
        <v>0</v>
      </c>
      <c r="J57" s="19">
        <f>ПЧ!J54-'ПЧ-38 16г '!J57</f>
        <v>0</v>
      </c>
    </row>
    <row r="58" spans="1:14" ht="13.5" thickBot="1" x14ac:dyDescent="0.25">
      <c r="A58" s="76" t="s">
        <v>47</v>
      </c>
      <c r="B58" t="s">
        <v>48</v>
      </c>
      <c r="C58" s="6">
        <v>70</v>
      </c>
      <c r="D58" s="19">
        <f>ПЧ!D55-'ПЧ-38 16г '!D58</f>
        <v>0</v>
      </c>
      <c r="E58" s="19">
        <f>ПЧ!E55-'ПЧ-38 16г '!E58</f>
        <v>0</v>
      </c>
      <c r="F58" s="19">
        <f>ПЧ!F55-'ПЧ-38 16г '!F58</f>
        <v>0</v>
      </c>
      <c r="G58" s="19">
        <f>ПЧ!G55-'ПЧ-38 16г '!G58</f>
        <v>0</v>
      </c>
      <c r="H58" s="19">
        <f>ПЧ!H55-'ПЧ-38 16г '!H58</f>
        <v>0</v>
      </c>
      <c r="I58" s="19">
        <f>ПЧ!I55-'ПЧ-38 16г '!I58</f>
        <v>0</v>
      </c>
      <c r="J58" s="19">
        <f>ПЧ!J55-'ПЧ-38 16г '!J58</f>
        <v>0</v>
      </c>
    </row>
    <row r="59" spans="1:14" ht="13.5" thickBot="1" x14ac:dyDescent="0.25">
      <c r="A59" s="77"/>
      <c r="B59" t="s">
        <v>49</v>
      </c>
      <c r="C59" s="17">
        <v>74</v>
      </c>
      <c r="D59" s="19">
        <f>ПЧ!D56-'ПЧ-38 16г '!D59</f>
        <v>0</v>
      </c>
      <c r="E59" s="19">
        <f>ПЧ!E56-'ПЧ-38 16г '!E59</f>
        <v>0</v>
      </c>
      <c r="F59" s="19">
        <f>ПЧ!F56-'ПЧ-38 16г '!F59</f>
        <v>0</v>
      </c>
      <c r="G59" s="19">
        <f>ПЧ!G56-'ПЧ-38 16г '!G59</f>
        <v>0</v>
      </c>
      <c r="H59" s="19">
        <f>ПЧ!H56-'ПЧ-38 16г '!H59</f>
        <v>0</v>
      </c>
      <c r="I59" s="19">
        <f>ПЧ!I56-'ПЧ-38 16г '!I59</f>
        <v>0</v>
      </c>
      <c r="J59" s="19">
        <f>ПЧ!J56-'ПЧ-38 16г '!J59</f>
        <v>0</v>
      </c>
    </row>
    <row r="60" spans="1:14" ht="13.5" thickBot="1" x14ac:dyDescent="0.25">
      <c r="A60" s="10"/>
      <c r="C60" s="11">
        <v>79</v>
      </c>
      <c r="D60" s="19">
        <f>ПЧ!D57-'ПЧ-38 16г '!D60</f>
        <v>0</v>
      </c>
      <c r="E60" s="19">
        <f>ПЧ!E57-'ПЧ-38 16г '!E60</f>
        <v>0</v>
      </c>
      <c r="F60" s="19">
        <f>ПЧ!F57-'ПЧ-38 16г '!F60</f>
        <v>0</v>
      </c>
      <c r="G60" s="19">
        <f>ПЧ!G57-'ПЧ-38 16г '!G60</f>
        <v>0</v>
      </c>
      <c r="H60" s="19">
        <f>ПЧ!H57-'ПЧ-38 16г '!H60</f>
        <v>0</v>
      </c>
      <c r="I60" s="19">
        <f>ПЧ!I57-'ПЧ-38 16г '!I60</f>
        <v>0</v>
      </c>
      <c r="J60" s="19">
        <f>ПЧ!J57-'ПЧ-38 16г '!J60</f>
        <v>0</v>
      </c>
    </row>
    <row r="61" spans="1:14" ht="13.5" thickBot="1" x14ac:dyDescent="0.25">
      <c r="A61" s="10"/>
      <c r="C61" s="19"/>
      <c r="D61" s="19" t="e">
        <f>ПЧ!#REF!-'ПЧ-38 16г '!D61</f>
        <v>#REF!</v>
      </c>
      <c r="E61" s="19" t="e">
        <f>ПЧ!#REF!-'ПЧ-38 16г '!E61</f>
        <v>#REF!</v>
      </c>
      <c r="F61" s="19" t="e">
        <f>ПЧ!#REF!-'ПЧ-38 16г '!F61</f>
        <v>#REF!</v>
      </c>
      <c r="G61" s="19" t="e">
        <f>ПЧ!#REF!-'ПЧ-38 16г '!G61</f>
        <v>#REF!</v>
      </c>
      <c r="H61" s="19" t="e">
        <f>ПЧ!#REF!-'ПЧ-38 16г '!H61</f>
        <v>#REF!</v>
      </c>
      <c r="I61" s="19" t="e">
        <f>ПЧ!#REF!-'ПЧ-38 16г '!I61</f>
        <v>#REF!</v>
      </c>
      <c r="J61" s="19" t="e">
        <f>ПЧ!#REF!-'ПЧ-38 16г '!J61</f>
        <v>#REF!</v>
      </c>
    </row>
    <row r="62" spans="1:14" ht="13.5" thickBot="1" x14ac:dyDescent="0.25">
      <c r="A62" s="15"/>
      <c r="B62" s="22" t="s">
        <v>29</v>
      </c>
      <c r="C62" s="19"/>
      <c r="D62" s="19">
        <f>ПЧ!D58-'ПЧ-38 16г '!D62</f>
        <v>0</v>
      </c>
      <c r="E62" s="19">
        <f>ПЧ!E58-'ПЧ-38 16г '!E62</f>
        <v>0</v>
      </c>
      <c r="F62" s="19">
        <f>ПЧ!F58-'ПЧ-38 16г '!F62</f>
        <v>0</v>
      </c>
      <c r="G62" s="19">
        <f>ПЧ!G58-'ПЧ-38 16г '!G62</f>
        <v>0</v>
      </c>
      <c r="H62" s="19">
        <f>ПЧ!H58-'ПЧ-38 16г '!H62</f>
        <v>0</v>
      </c>
      <c r="I62" s="19">
        <f>ПЧ!I58-'ПЧ-38 16г '!I62</f>
        <v>0</v>
      </c>
      <c r="J62" s="19">
        <f>ПЧ!J58-'ПЧ-38 16г '!J62</f>
        <v>0</v>
      </c>
    </row>
    <row r="63" spans="1:14" ht="13.5" thickBot="1" x14ac:dyDescent="0.25">
      <c r="B63" s="4"/>
      <c r="C63" s="29"/>
    </row>
    <row r="64" spans="1:14" ht="13.5" thickBot="1" x14ac:dyDescent="0.25">
      <c r="A64" s="5"/>
      <c r="B64" s="5"/>
      <c r="C64" s="5"/>
      <c r="D64" s="7" t="s">
        <v>7</v>
      </c>
      <c r="E64" s="8"/>
      <c r="F64" s="8"/>
      <c r="G64" s="8"/>
      <c r="H64" s="8"/>
      <c r="I64" s="8"/>
      <c r="J64" s="9"/>
    </row>
    <row r="65" spans="1:10" ht="13.5" thickBot="1" x14ac:dyDescent="0.25">
      <c r="A65" s="10" t="s">
        <v>8</v>
      </c>
      <c r="B65" s="10" t="s">
        <v>9</v>
      </c>
      <c r="C65" s="10" t="s">
        <v>10</v>
      </c>
      <c r="D65" s="10"/>
      <c r="E65" s="7" t="s">
        <v>11</v>
      </c>
      <c r="F65" s="8"/>
      <c r="G65" s="8"/>
      <c r="H65" s="8"/>
      <c r="I65" s="8"/>
      <c r="J65" s="9"/>
    </row>
    <row r="66" spans="1:10" ht="13.5" thickBot="1" x14ac:dyDescent="0.25">
      <c r="A66" s="10" t="s">
        <v>12</v>
      </c>
      <c r="B66" s="10" t="s">
        <v>13</v>
      </c>
      <c r="C66" s="10" t="s">
        <v>14</v>
      </c>
      <c r="D66" s="12" t="s">
        <v>15</v>
      </c>
      <c r="E66" s="74" t="s">
        <v>16</v>
      </c>
      <c r="F66" s="75"/>
      <c r="G66" s="74" t="s">
        <v>17</v>
      </c>
      <c r="H66" s="75"/>
      <c r="I66" s="30" t="s">
        <v>18</v>
      </c>
      <c r="J66" s="14" t="s">
        <v>19</v>
      </c>
    </row>
    <row r="67" spans="1:10" ht="13.5" thickBot="1" x14ac:dyDescent="0.25">
      <c r="A67" s="15"/>
      <c r="B67" s="15"/>
      <c r="C67" s="15"/>
      <c r="D67" s="15"/>
      <c r="E67" s="17" t="s">
        <v>20</v>
      </c>
      <c r="F67" s="17" t="s">
        <v>21</v>
      </c>
      <c r="G67" s="17" t="s">
        <v>20</v>
      </c>
      <c r="H67" s="17" t="s">
        <v>21</v>
      </c>
      <c r="I67" s="31"/>
      <c r="J67" s="18" t="s">
        <v>22</v>
      </c>
    </row>
    <row r="68" spans="1:10" ht="13.5" thickBot="1" x14ac:dyDescent="0.25">
      <c r="A68" s="19"/>
      <c r="B68" s="20" t="s">
        <v>23</v>
      </c>
      <c r="C68" s="20" t="s">
        <v>24</v>
      </c>
      <c r="D68" s="20">
        <v>1</v>
      </c>
      <c r="E68" s="20">
        <v>2</v>
      </c>
      <c r="F68" s="20">
        <v>3</v>
      </c>
      <c r="G68" s="20">
        <v>4</v>
      </c>
      <c r="H68" s="20">
        <v>5</v>
      </c>
      <c r="I68" s="20">
        <v>6</v>
      </c>
      <c r="J68" s="20">
        <v>7</v>
      </c>
    </row>
    <row r="69" spans="1:10" ht="13.5" thickBot="1" x14ac:dyDescent="0.25">
      <c r="A69" s="6" t="s">
        <v>50</v>
      </c>
      <c r="B69" t="s">
        <v>51</v>
      </c>
      <c r="C69" s="16">
        <v>85</v>
      </c>
      <c r="D69" s="19">
        <f>ПЧ!D59-'ПЧ-38 16г '!D69</f>
        <v>0</v>
      </c>
      <c r="E69" s="19">
        <f>ПЧ!E59-'ПЧ-38 16г '!E69</f>
        <v>0</v>
      </c>
      <c r="F69" s="19">
        <f>ПЧ!F59-'ПЧ-38 16г '!F69</f>
        <v>0</v>
      </c>
      <c r="G69" s="19">
        <f>ПЧ!G59-'ПЧ-38 16г '!G69</f>
        <v>0</v>
      </c>
      <c r="H69" s="19">
        <f>ПЧ!H59-'ПЧ-38 16г '!H69</f>
        <v>0</v>
      </c>
      <c r="I69" s="19">
        <f>ПЧ!I59-'ПЧ-38 16г '!I69</f>
        <v>0</v>
      </c>
      <c r="J69" s="19">
        <f>ПЧ!J59-'ПЧ-38 16г '!J69</f>
        <v>0</v>
      </c>
    </row>
    <row r="70" spans="1:10" ht="13.5" thickBot="1" x14ac:dyDescent="0.25">
      <c r="A70" s="10"/>
      <c r="B70" t="s">
        <v>52</v>
      </c>
      <c r="C70" s="17">
        <v>86</v>
      </c>
      <c r="D70" s="19">
        <f>ПЧ!D60-'ПЧ-38 16г '!D70</f>
        <v>0</v>
      </c>
      <c r="E70" s="19">
        <f>ПЧ!E60-'ПЧ-38 16г '!E70</f>
        <v>0</v>
      </c>
      <c r="F70" s="19">
        <f>ПЧ!F60-'ПЧ-38 16г '!F70</f>
        <v>0</v>
      </c>
      <c r="G70" s="19">
        <f>ПЧ!G60-'ПЧ-38 16г '!G70</f>
        <v>0</v>
      </c>
      <c r="H70" s="19">
        <f>ПЧ!H60-'ПЧ-38 16г '!H70</f>
        <v>0</v>
      </c>
      <c r="I70" s="19">
        <f>ПЧ!I60-'ПЧ-38 16г '!I70</f>
        <v>0</v>
      </c>
      <c r="J70" s="19">
        <f>ПЧ!J60-'ПЧ-38 16г '!J70</f>
        <v>0</v>
      </c>
    </row>
    <row r="71" spans="1:10" ht="13.5" thickBot="1" x14ac:dyDescent="0.25">
      <c r="A71" s="15"/>
      <c r="B71" s="22" t="s">
        <v>29</v>
      </c>
      <c r="C71" s="19"/>
      <c r="D71" s="19">
        <f>ПЧ!D61-'ПЧ-38 16г '!D71</f>
        <v>0</v>
      </c>
      <c r="E71" s="19">
        <f>ПЧ!E61-'ПЧ-38 16г '!E71</f>
        <v>0</v>
      </c>
      <c r="F71" s="19">
        <f>ПЧ!F61-'ПЧ-38 16г '!F71</f>
        <v>0</v>
      </c>
      <c r="G71" s="19">
        <f>ПЧ!G61-'ПЧ-38 16г '!G71</f>
        <v>0</v>
      </c>
      <c r="H71" s="19">
        <f>ПЧ!H61-'ПЧ-38 16г '!H71</f>
        <v>0</v>
      </c>
      <c r="I71" s="19">
        <f>ПЧ!I61-'ПЧ-38 16г '!I71</f>
        <v>0</v>
      </c>
      <c r="J71" s="19">
        <f>ПЧ!J61-'ПЧ-38 16г '!J71</f>
        <v>0</v>
      </c>
    </row>
    <row r="72" spans="1:10" ht="13.5" thickBot="1" x14ac:dyDescent="0.25">
      <c r="A72" s="6" t="s">
        <v>53</v>
      </c>
      <c r="B72" t="s">
        <v>54</v>
      </c>
      <c r="C72" s="6"/>
      <c r="D72" s="19">
        <f>ПЧ!D62-'ПЧ-38 16г '!D72</f>
        <v>0</v>
      </c>
      <c r="E72" s="19">
        <f>ПЧ!E62-'ПЧ-38 16г '!E72</f>
        <v>0</v>
      </c>
      <c r="F72" s="19">
        <f>ПЧ!F62-'ПЧ-38 16г '!F72</f>
        <v>0</v>
      </c>
      <c r="G72" s="19">
        <f>ПЧ!G62-'ПЧ-38 16г '!G72</f>
        <v>0</v>
      </c>
      <c r="H72" s="19">
        <f>ПЧ!H62-'ПЧ-38 16г '!H72</f>
        <v>0</v>
      </c>
      <c r="I72" s="19">
        <f>ПЧ!I62-'ПЧ-38 16г '!I72</f>
        <v>0</v>
      </c>
      <c r="J72" s="19">
        <f>ПЧ!J62-'ПЧ-38 16г '!J72</f>
        <v>0</v>
      </c>
    </row>
    <row r="73" spans="1:10" ht="13.5" thickBot="1" x14ac:dyDescent="0.25">
      <c r="A73" s="10"/>
      <c r="B73" t="s">
        <v>55</v>
      </c>
      <c r="C73" s="16">
        <v>99</v>
      </c>
      <c r="D73" s="19">
        <f>ПЧ!D63-'ПЧ-38 16г '!D73</f>
        <v>0</v>
      </c>
      <c r="E73" s="19">
        <f>ПЧ!E63-'ПЧ-38 16г '!E73</f>
        <v>0</v>
      </c>
      <c r="F73" s="19">
        <f>ПЧ!F63-'ПЧ-38 16г '!F73</f>
        <v>0</v>
      </c>
      <c r="G73" s="19">
        <f>ПЧ!G63-'ПЧ-38 16г '!G73</f>
        <v>0</v>
      </c>
      <c r="H73" s="19">
        <f>ПЧ!H63-'ПЧ-38 16г '!H73</f>
        <v>0</v>
      </c>
      <c r="I73" s="19">
        <f>ПЧ!I63-'ПЧ-38 16г '!I73</f>
        <v>0</v>
      </c>
      <c r="J73" s="19">
        <f>ПЧ!J63-'ПЧ-38 16г '!J73</f>
        <v>0</v>
      </c>
    </row>
    <row r="74" spans="1:10" ht="13.5" thickBot="1" x14ac:dyDescent="0.25">
      <c r="A74" s="15"/>
      <c r="B74" s="22" t="s">
        <v>29</v>
      </c>
      <c r="C74" s="19"/>
      <c r="D74" s="19">
        <f>ПЧ!D64-'ПЧ-38 16г '!D74</f>
        <v>0</v>
      </c>
      <c r="E74" s="19">
        <f>ПЧ!E64-'ПЧ-38 16г '!E74</f>
        <v>0</v>
      </c>
      <c r="F74" s="19">
        <f>ПЧ!F64-'ПЧ-38 16г '!F74</f>
        <v>0</v>
      </c>
      <c r="G74" s="19">
        <f>ПЧ!G64-'ПЧ-38 16г '!G74</f>
        <v>0</v>
      </c>
      <c r="H74" s="19">
        <f>ПЧ!H64-'ПЧ-38 16г '!H74</f>
        <v>0</v>
      </c>
      <c r="I74" s="19">
        <f>ПЧ!I64-'ПЧ-38 16г '!I74</f>
        <v>0</v>
      </c>
      <c r="J74" s="19">
        <f>ПЧ!J64-'ПЧ-38 16г '!J74</f>
        <v>0</v>
      </c>
    </row>
    <row r="75" spans="1:10" ht="13.5" thickBot="1" x14ac:dyDescent="0.25">
      <c r="A75" s="5"/>
      <c r="B75" s="5"/>
      <c r="C75" s="5"/>
      <c r="D75" s="19" t="e">
        <f>ПЧ!#REF!-'ПЧ-38 16г '!D75</f>
        <v>#REF!</v>
      </c>
      <c r="E75" s="19" t="e">
        <f>ПЧ!#REF!-'ПЧ-38 16г '!E75</f>
        <v>#REF!</v>
      </c>
      <c r="F75" s="19" t="e">
        <f>ПЧ!#REF!-'ПЧ-38 16г '!F75</f>
        <v>#REF!</v>
      </c>
      <c r="G75" s="19" t="e">
        <f>ПЧ!#REF!-'ПЧ-38 16г '!G75</f>
        <v>#REF!</v>
      </c>
      <c r="H75" s="19" t="e">
        <f>ПЧ!#REF!-'ПЧ-38 16г '!H75</f>
        <v>#REF!</v>
      </c>
      <c r="I75" s="19" t="e">
        <f>ПЧ!#REF!-'ПЧ-38 16г '!I75</f>
        <v>#REF!</v>
      </c>
      <c r="J75" s="19" t="e">
        <f>ПЧ!#REF!-'ПЧ-38 16г '!J75</f>
        <v>#REF!</v>
      </c>
    </row>
    <row r="76" spans="1:10" ht="13.5" thickBot="1" x14ac:dyDescent="0.25">
      <c r="A76" s="15"/>
      <c r="B76" s="32" t="s">
        <v>56</v>
      </c>
      <c r="C76" s="15"/>
      <c r="D76" s="19">
        <f>ПЧ!D65-'ПЧ-38 16г '!D76</f>
        <v>-148</v>
      </c>
      <c r="E76" s="19">
        <f>ПЧ!E65-'ПЧ-38 16г '!E76</f>
        <v>0</v>
      </c>
      <c r="F76" s="19">
        <f>ПЧ!F65-'ПЧ-38 16г '!F76</f>
        <v>0</v>
      </c>
      <c r="G76" s="19">
        <f>ПЧ!G65-'ПЧ-38 16г '!G76</f>
        <v>-70</v>
      </c>
      <c r="H76" s="19">
        <f>ПЧ!H65-'ПЧ-38 16г '!H76</f>
        <v>0</v>
      </c>
      <c r="I76" s="19">
        <f>ПЧ!I65-'ПЧ-38 16г '!I76</f>
        <v>-78</v>
      </c>
      <c r="J76" s="19">
        <f>ПЧ!J65-'ПЧ-38 16г '!J76</f>
        <v>0</v>
      </c>
    </row>
    <row r="78" spans="1:10" x14ac:dyDescent="0.2">
      <c r="I78" t="s">
        <v>69</v>
      </c>
    </row>
    <row r="79" spans="1:10" x14ac:dyDescent="0.2">
      <c r="C79" t="s">
        <v>71</v>
      </c>
    </row>
    <row r="80" spans="1:10" x14ac:dyDescent="0.2">
      <c r="B80" t="s">
        <v>57</v>
      </c>
      <c r="C80" t="s">
        <v>58</v>
      </c>
    </row>
    <row r="81" spans="1:11" x14ac:dyDescent="0.2">
      <c r="C81" t="s">
        <v>59</v>
      </c>
    </row>
    <row r="82" spans="1:11" x14ac:dyDescent="0.2">
      <c r="C82" t="s">
        <v>60</v>
      </c>
    </row>
    <row r="85" spans="1:11" x14ac:dyDescent="0.2">
      <c r="A85" s="1" t="s">
        <v>61</v>
      </c>
      <c r="C85" s="1"/>
    </row>
    <row r="86" spans="1:11" x14ac:dyDescent="0.2">
      <c r="A86" s="1" t="s">
        <v>62</v>
      </c>
      <c r="C86" s="1"/>
      <c r="J86" s="1" t="s">
        <v>63</v>
      </c>
      <c r="K86" s="1"/>
    </row>
    <row r="88" spans="1:11" x14ac:dyDescent="0.2">
      <c r="A88" s="33" t="s">
        <v>64</v>
      </c>
      <c r="B88" s="33"/>
    </row>
    <row r="89" spans="1:11" x14ac:dyDescent="0.2">
      <c r="A89" s="33" t="s">
        <v>65</v>
      </c>
      <c r="B89" s="33"/>
    </row>
  </sheetData>
  <mergeCells count="5">
    <mergeCell ref="E17:F17"/>
    <mergeCell ref="G17:H17"/>
    <mergeCell ref="A58:A59"/>
    <mergeCell ref="E66:F66"/>
    <mergeCell ref="G66:H66"/>
  </mergeCells>
  <printOptions horizontalCentered="1" verticalCentered="1"/>
  <pageMargins left="0.35433070866141736" right="0.35433070866141736" top="0.39370078740157483" bottom="0.19685039370078741" header="0.51181102362204722" footer="0.51181102362204722"/>
  <pageSetup paperSize="9" scale="6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2</vt:i4>
      </vt:variant>
    </vt:vector>
  </HeadingPairs>
  <TitlesOfParts>
    <vt:vector size="6" baseType="lpstr">
      <vt:lpstr>ПЧ-38 16г </vt:lpstr>
      <vt:lpstr>ПЧ</vt:lpstr>
      <vt:lpstr>постановка</vt:lpstr>
      <vt:lpstr>+ - к прошлому году</vt:lpstr>
      <vt:lpstr>'+ - к прошлому году'!Область_печати</vt:lpstr>
      <vt:lpstr>'ПЧ-38 16г '!Область_печати</vt:lpstr>
    </vt:vector>
  </TitlesOfParts>
  <Company>123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123</dc:creator>
  <cp:lastModifiedBy>Envy</cp:lastModifiedBy>
  <cp:lastPrinted>2023-02-16T09:30:19Z</cp:lastPrinted>
  <dcterms:created xsi:type="dcterms:W3CDTF">2007-12-24T12:07:56Z</dcterms:created>
  <dcterms:modified xsi:type="dcterms:W3CDTF">2025-11-04T03:52:54Z</dcterms:modified>
</cp:coreProperties>
</file>